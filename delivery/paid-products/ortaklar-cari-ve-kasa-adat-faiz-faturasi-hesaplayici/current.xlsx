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ORTAK_CARI" sheetId="3" state="visible" r:id="rId5"/>
    <sheet name="KASA_ADAT" sheetId="4" state="visible" r:id="rId6"/>
    <sheet name="HESAP" sheetId="5" state="visible" r:id="rId7"/>
    <sheet name="ANALITIK_MOTOR" sheetId="6" state="visible" r:id="rId8"/>
    <sheet name="KONTROLLER" sheetId="7" state="visible" r:id="rId9"/>
    <sheet name="KARAR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DEGISIKLIK_KAYDI" sheetId="13" state="visible" r:id="rId15"/>
    <sheet name="LISTELER" sheetId="14" state="visible" r:id="rId16"/>
    <sheet name="AYARLAR" sheetId="15" state="visible" r:id="rId17"/>
    <sheet name="KILAVUZ" sheetId="16" state="visible" r:id="rId18"/>
  </sheets>
  <definedNames>
    <definedName function="false" hidden="false" localSheetId="8" name="_xlnm.Print_Area" vbProcedure="false">PANO!$A$1:$M$56</definedName>
    <definedName function="false" hidden="false" localSheetId="10" name="_xlnm.Print_Area" vbProcedure="false">RAPOR!$A$1:$L$29</definedName>
    <definedName function="false" hidden="false" name="AdatAksiyon1_ACIKLAMA" vbProcedure="false">AYARLAR!$B$24</definedName>
    <definedName function="false" hidden="false" name="AdatAksiyon2_ACIKLAMA" vbProcedure="false">AYARLAR!$B$25</definedName>
    <definedName function="false" hidden="false" name="AdatAksiyon3_ACIKLAMA" vbProcedure="false">AYARLAR!$B$26</definedName>
    <definedName function="false" hidden="false" name="AdatBazSenaryo" vbProcedure="false">AYARLAR!$B$17</definedName>
    <definedName function="false" hidden="false" name="AdatDoluGiris" vbProcedure="false">KONTROLLER!$B$18</definedName>
    <definedName function="false" hidden="false" name="AdatFaizEsik" vbProcedure="false">AYARLAR!$B$13</definedName>
    <definedName function="false" hidden="false" name="AdatFaizOran" vbProcedure="false">AYARLAR!$B$11</definedName>
    <definedName function="false" hidden="false" name="AdatIyiSenaryo" vbProcedure="false">AYARLAR!$B$16</definedName>
    <definedName function="false" hidden="false" name="AdatKaliteIyi" vbProcedure="false">AYARLAR!$B$22</definedName>
    <definedName function="false" hidden="false" name="AdatKaliteOrta" vbProcedure="false">AYARLAR!$B$23</definedName>
    <definedName function="false" hidden="false" name="AdatKotuSenaryo" vbProcedure="false">AYARLAR!$B$18</definedName>
    <definedName function="false" hidden="false" name="AdatOzKaynak" vbProcedure="false">AYARLAR!$B$14</definedName>
    <definedName function="false" hidden="false" name="AdatOzKaynakEsik" vbProcedure="false">AYARLAR!$B$15</definedName>
    <definedName function="false" hidden="false" name="AdatP90Oran" vbProcedure="false">AYARLAR!$B$27</definedName>
    <definedName function="false" hidden="false" name="AdatPanelSatir1" vbProcedure="false">AYARLAR!$B$28</definedName>
    <definedName function="false" hidden="false" name="AdatPanelSatir10" vbProcedure="false">AYARLAR!$B$37</definedName>
    <definedName function="false" hidden="false" name="AdatPanelSatir11" vbProcedure="false">AYARLAR!$B$38</definedName>
    <definedName function="false" hidden="false" name="AdatPanelSatir12" vbProcedure="false">AYARLAR!$B$39</definedName>
    <definedName function="false" hidden="false" name="AdatPanelSatir2" vbProcedure="false">AYARLAR!$B$29</definedName>
    <definedName function="false" hidden="false" name="AdatPanelSatir3" vbProcedure="false">AYARLAR!$B$30</definedName>
    <definedName function="false" hidden="false" name="AdatPanelSatir4" vbProcedure="false">AYARLAR!$B$31</definedName>
    <definedName function="false" hidden="false" name="AdatPanelSatir5" vbProcedure="false">AYARLAR!$B$32</definedName>
    <definedName function="false" hidden="false" name="AdatPanelSatir6" vbProcedure="false">AYARLAR!$B$33</definedName>
    <definedName function="false" hidden="false" name="AdatPanelSatir7" vbProcedure="false">AYARLAR!$B$34</definedName>
    <definedName function="false" hidden="false" name="AdatPanelSatir8" vbProcedure="false">AYARLAR!$B$35</definedName>
    <definedName function="false" hidden="false" name="AdatPanelSatir9" vbProcedure="false">AYARLAR!$B$36</definedName>
    <definedName function="false" hidden="false" name="AdatTahminCarpan" vbProcedure="false">AYARLAR!$B$21</definedName>
    <definedName function="false" hidden="false" name="AdatToplamGun" vbProcedure="false">HESAP!$B$30</definedName>
    <definedName function="false" hidden="false" name="AdatToplamGiris" vbProcedure="false">KONTROLLER!$B$17</definedName>
    <definedName function="false" hidden="false" name="AdatTornadoAdat" vbProcedure="false">AYARLAR!$B$20</definedName>
    <definedName function="false" hidden="false" name="AdatTornadoOran" vbProcedure="false">AYARLAR!$B$19</definedName>
    <definedName function="false" hidden="false" name="AdatYilGunSayisi" vbProcedure="false">AYARLAR!$B$12</definedName>
    <definedName function="false" hidden="false" name="BrutFaizTutari" vbProcedure="false">HESAP!$B$25</definedName>
    <definedName function="false" hidden="false" name="DosyaSurumu" vbProcedure="false">AYARLAR!$B$10</definedName>
    <definedName function="false" hidden="false" name="FaturaTutari" vbProcedure="false">HESAP!$B$26</definedName>
    <definedName function="false" hidden="false" name="FirmaUnvan" vbProcedure="false">AYARLAR!$B$7</definedName>
    <definedName function="false" hidden="false" name="KasaAdatFaiz" vbProcedure="false">HESAP!$B$24</definedName>
    <definedName function="false" hidden="false" name="KasaToplamAdat" vbProcedure="false">HESAP!$B$23</definedName>
    <definedName function="false" hidden="false" name="ListeIslemTurleri" vbProcedure="false">LISTELER!$C$7:$C$8</definedName>
    <definedName function="false" hidden="false" name="ListeOrtakAdlari" vbProcedure="false">LISTELER!$A$7:$A$16</definedName>
    <definedName function="false" hidden="false" name="modulI1AdatTahmin" vbProcedure="false">ANALITIK_MOTOR!$C$14</definedName>
    <definedName function="false" hidden="false" name="modulI1AdatTahminYorum" vbProcedure="false">ANALITIK_MOTOR!$D$14</definedName>
    <definedName function="false" hidden="false" name="modulI2YuzdelikP90" vbProcedure="false">ANALITIK_MOTOR!$C$15</definedName>
    <definedName function="false" hidden="false" name="modulI2YuzdelikP90Yorum" vbProcedure="false">ANALITIK_MOTOR!$D$15</definedName>
    <definedName function="false" hidden="false" name="modulO1Anomali" vbProcedure="false">ANALITIK_MOTOR!$C$9</definedName>
    <definedName function="false" hidden="false" name="modulO1AnomaliYorum" vbProcedure="false">ANALITIK_MOTOR!$D$9</definedName>
    <definedName function="false" hidden="false" name="modulO2Tornado" vbProcedure="false">ANALITIK_MOTOR!$C$10</definedName>
    <definedName function="false" hidden="false" name="modulO2TornadoYorum" vbProcedure="false">ANALITIK_MOTOR!$D$10</definedName>
    <definedName function="false" hidden="false" name="modulO3Senaryo" vbProcedure="false">ANALITIK_MOTOR!$C$11</definedName>
    <definedName function="false" hidden="false" name="modulO3SenaryoYorum" vbProcedure="false">ANALITIK_MOTOR!$D$11</definedName>
    <definedName function="false" hidden="false" name="modulO6Hhi" vbProcedure="false">ANALITIK_MOTOR!$C$12</definedName>
    <definedName function="false" hidden="false" name="modulO6HhiYorum" vbProcedure="false">ANALITIK_MOTOR!$D$12</definedName>
    <definedName function="false" hidden="false" name="modulO8KaliteSkor" vbProcedure="false">ANALITIK_MOTOR!$C$13</definedName>
    <definedName function="false" hidden="false" name="modulO8KaliteSkorYorum" vbProcedure="false">ANALITIK_MOTOR!$D$13</definedName>
    <definedName function="false" hidden="false" name="modulT1DonemBakiye" vbProcedure="false">ANALITIK_MOTOR!$C$6</definedName>
    <definedName function="false" hidden="false" name="modulT1DonemBakiyeYorum" vbProcedure="false">ANALITIK_MOTOR!$D$6</definedName>
    <definedName function="false" hidden="false" name="modulT2FaizTrend" vbProcedure="false">ANALITIK_MOTOR!$C$7</definedName>
    <definedName function="false" hidden="false" name="modulT2FaizTrendYorum" vbProcedure="false">ANALITIK_MOTOR!$D$7</definedName>
    <definedName function="false" hidden="false" name="modulT4DonemFark" vbProcedure="false">ANALITIK_MOTOR!$C$8</definedName>
    <definedName function="false" hidden="false" name="modulT4DonemFarkYorum" vbProcedure="false">ANALITIK_MOTOR!$D$8</definedName>
    <definedName function="false" hidden="false" name="OrtakCariFaiz" vbProcedure="false">HESAP!$B$22</definedName>
    <definedName function="false" hidden="false" name="OrtakCariNetBakiye" vbProcedure="false">HESAP!$B$20</definedName>
    <definedName function="false" hidden="false" name="OrtakCariToplamAdat" vbProcedure="false">HESAP!$B$21</definedName>
    <definedName function="false" hidden="false" name="OrtuluSermayeOrani" vbProcedure="false">HESAP!$B$28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ToplamAdat" vbProcedure="false">HESAP!$C$18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Ortak cari işlemlerini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Kasa bakiyelerini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Faiz oranını kontrol edin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Fatura tutarı ve karar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107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109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111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113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114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116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107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109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111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113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114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116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107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109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111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113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114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116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107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109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111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113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114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116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107</xdr:rowOff>
              </xdr:from>
              <xdr:to>
                <xdr:col>3</xdr:col>
                <xdr:colOff>53</xdr:colOff>
                <xdr:row>5</xdr:row>
                <xdr:rowOff>18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109</xdr:rowOff>
              </xdr:from>
              <xdr:to>
                <xdr:col>3</xdr:col>
                <xdr:colOff>53</xdr:colOff>
                <xdr:row>5</xdr:row>
                <xdr:rowOff>20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111</xdr:rowOff>
              </xdr:from>
              <xdr:to>
                <xdr:col>3</xdr:col>
                <xdr:colOff>53</xdr:colOff>
                <xdr:row>5</xdr:row>
                <xdr:rowOff>22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113</xdr:rowOff>
              </xdr:from>
              <xdr:to>
                <xdr:col>3</xdr:col>
                <xdr:colOff>53</xdr:colOff>
                <xdr:row>6</xdr:row>
                <xdr:rowOff>2</xdr:rowOff>
              </xdr:to>
            </anchor>
          </commentPr>
        </mc:Choice>
        <mc:Fallback/>
      </mc:AlternateContent>
    </comment>
    <comment ref="J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114</xdr:rowOff>
              </xdr:from>
              <xdr:to>
                <xdr:col>3</xdr:col>
                <xdr:colOff>53</xdr:colOff>
                <xdr:row>6</xdr:row>
                <xdr:rowOff>4</xdr:rowOff>
              </xdr:to>
            </anchor>
          </commentPr>
        </mc:Choice>
        <mc:Fallback/>
      </mc:AlternateContent>
    </comment>
    <comment ref="J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116</xdr:rowOff>
              </xdr:from>
              <xdr:to>
                <xdr:col>3</xdr:col>
                <xdr:colOff>53</xdr:colOff>
                <xdr:row>6</xdr:row>
                <xdr:rowOff>5</xdr:rowOff>
              </xdr:to>
            </anchor>
          </commentPr>
        </mc:Choice>
        <mc:Fallback/>
      </mc:AlternateContent>
    </comment>
    <comment ref="J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  <comment ref="J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118</xdr:rowOff>
              </xdr:from>
              <xdr:to>
                <xdr:col>3</xdr:col>
                <xdr:colOff>53</xdr:colOff>
                <xdr:row>6</xdr:row>
                <xdr:rowOff>7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2</xdr:col>
                <xdr:colOff>98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2</xdr:col>
                <xdr:colOff>98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2</xdr:col>
                <xdr:colOff>98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2</xdr:col>
                <xdr:colOff>98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2</xdr:col>
                <xdr:colOff>98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2</xdr:col>
                <xdr:colOff>98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2</xdr:col>
                <xdr:colOff>98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2</xdr:col>
                <xdr:colOff>98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2</xdr:col>
                <xdr:colOff>98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2</xdr:col>
                <xdr:colOff>98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2</xdr:col>
                <xdr:colOff>98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2</xdr:col>
                <xdr:colOff>98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2</xdr:col>
                <xdr:colOff>98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2</xdr:col>
                <xdr:colOff>98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2</xdr:col>
                <xdr:colOff>98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2</xdr:col>
                <xdr:colOff>98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37</xdr:rowOff>
              </xdr:from>
              <xdr:to>
                <xdr:col>2</xdr:col>
                <xdr:colOff>98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39</xdr:rowOff>
              </xdr:from>
              <xdr:to>
                <xdr:col>2</xdr:col>
                <xdr:colOff>98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41</xdr:rowOff>
              </xdr:from>
              <xdr:to>
                <xdr:col>2</xdr:col>
                <xdr:colOff>98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43</xdr:rowOff>
              </xdr:from>
              <xdr:to>
                <xdr:col>2</xdr:col>
                <xdr:colOff>98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45</xdr:rowOff>
              </xdr:from>
              <xdr:to>
                <xdr:col>2</xdr:col>
                <xdr:colOff>98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47</xdr:rowOff>
              </xdr:from>
              <xdr:to>
                <xdr:col>2</xdr:col>
                <xdr:colOff>98</xdr:colOff>
                <xdr:row>6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8" authorId="0">
      <text>
        <r>
          <rPr>
            <sz val="10"/>
            <rFont val="Arial"/>
            <family val="2"/>
          </rPr>
          <t xml:space="preserve">Tanım: Ortak 1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Ortak 2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Ortak 3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Ortak 4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Ortak 5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Ortak 6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Ortak 7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Ortak 8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Ortak 9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Ortak 10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Ortak 1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Ortak 2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Ortak 3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Ortak 4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Ortak 5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Ortak 6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Ortak 7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Ortak 8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Ortak 9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Ortak 10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Ortak 1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Ortak 2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Ortak 3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Ortak 4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Ortak 5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Ortak 6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Ortak 7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Ortak 8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Ortak 9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Ortak 10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Ortak 1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Ortak 2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Ortak 3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Ortak 4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Ortak 5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Ortak 6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Ortak 7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Ortak 8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Ortak 9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Ortak 10 cari metriği | Neden önemli: Ortak bazında faiz ve riski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2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ortak adı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tutar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tutar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İşlem türü dışı değer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Kasa negatif bakiye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Net bakiye negatif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Faiz tutarı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Örtülü sermaye oranı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Ortak adı 1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Ortak adı 2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Ortak adı 3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Ortak adı 4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Ortak adı 5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Ortak adı 6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Ortak adı 7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Ortak adı 8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Ortak adı 9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Ortak adı 10 | Neden önemli: ORTAK_CARI açılır listesini besler | Doğru kullanım: Ortağın adını yazın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4</xdr:col>
                <xdr:colOff>4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48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3</xdr:col>
                <xdr:colOff>48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Panel satır numarası 1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2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3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4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5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6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7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8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9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10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11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12 | Neden önemli: PANO'daki grafikleri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<sst xmlns="http://schemas.openxmlformats.org/spreadsheetml/2006/main" count="455" uniqueCount="326">
  <si>
    <t xml:space="preserve">KAPAK — Ortaklar Cari &amp; Kasa Adat Faiz Faturası Hesaplayıcı</t>
  </si>
  <si>
    <t xml:space="preserve">Ortaklar Cari &amp; Kasa Adat Faiz Faturası Hesaplayıcı</t>
  </si>
  <si>
    <t xml:space="preserve">Ortak cari hareketlerini ve kasa bakiyelerini girin; adat üzerinden dönem faizini, fatura tutarını ve örtülü sermaye riskini otomatik hesaplayın.</t>
  </si>
  <si>
    <t xml:space="preserve">Bu ürün ne sağlar?</t>
  </si>
  <si>
    <t xml:space="preserve">• Ortak cari tablosunda her işlemden sonra kümülatif bakiye ve adat</t>
  </si>
  <si>
    <t xml:space="preserve">• Gün bazlı adat faizi ve dönem sonu faiz faturası tutarı</t>
  </si>
  <si>
    <t xml:space="preserve">• Kasa gün sonu bakiyeleri üzerinden ayrı adat ve faiz hesabı</t>
  </si>
  <si>
    <t xml:space="preserve">• Ortak cari bakiyesinin örtülü sermaye/KKEG eşiğini aşıp aşmadığı</t>
  </si>
  <si>
    <t xml:space="preserve">• Faiz oranı ve vade duyarlılığı, senaryo karşılaştırması ve tahmin bandı</t>
  </si>
  <si>
    <t xml:space="preserve">Kimler için?</t>
  </si>
  <si>
    <t xml:space="preserve">• Ortaklarıyla cari hesap işleyen limited ve anonim şirketler</t>
  </si>
  <si>
    <t xml:space="preserve">• Kasa bakiyelerini dönem sonu adat ile hesaplayan mali müşavirler</t>
  </si>
  <si>
    <t xml:space="preserve">• Faiz faturasını düzenli ve mutabakatlı kesmek isteyen işletmeler</t>
  </si>
  <si>
    <t xml:space="preserve">Nasıl başlanır?</t>
  </si>
  <si>
    <t xml:space="preserve">1. ORTAK_CARI sayfasına ortak işlemlerini, KASA_ADAT sayfasına kasa bakiyelerini girin. 2. Faiz oranını AYARLAR'dan kontrol edin. 3. PANO ve RAPOR sayfalarından fatura tutarını ve kararı izleyin.</t>
  </si>
  <si>
    <t xml:space="preserve">Sürüm 1.0.0 | 2026 | ExcelArşiv | Lisans: Tek kullanıcı</t>
  </si>
  <si>
    <t xml:space="preserve">HIZLI BASLANGIC — Ortaklar Cari &amp; Kasa Adat Faiz Faturası Hesaplayıcı</t>
  </si>
  <si>
    <t xml:space="preserve">Nasıl kullanılır?</t>
  </si>
  <si>
    <t xml:space="preserve">Adım 1 — Ortak cari işlemlerini girin</t>
  </si>
  <si>
    <t xml:space="preserve">ORTAK_CARI sayfasındaki sarı hücrelere işlem tarihi, ortak adı, işlem türü (Alacak/Borç) ve tutarı girin. Bakiye, gün sayısı ve adat otomatik hesaplanır.</t>
  </si>
  <si>
    <t xml:space="preserve">Adım 2 — Kasa bakiyelerini girin</t>
  </si>
  <si>
    <t xml:space="preserve">KASA_ADAT sayfasındaki sarı hücrelere dönem içindeki gün sonu kasa bakiyelerini girin.</t>
  </si>
  <si>
    <t xml:space="preserve">Adım 3 — Faiz oranını kontrol edin</t>
  </si>
  <si>
    <t xml:space="preserve">AYARLAR sayfasındaki yıllık adat faiz oranını dönem için uygulanan emsal orana göre güncelleyin.</t>
  </si>
  <si>
    <t xml:space="preserve">Adım 4 — Fatura tutarı ve karar</t>
  </si>
  <si>
    <t xml:space="preserve">HESAP ve KARAR sayfaları dönem faizini, fatura tutarını ve UYGUN/İNCELE/DURDUR kararını üretir.</t>
  </si>
  <si>
    <t xml:space="preserve">Sık yapılan hatalar</t>
  </si>
  <si>
    <t xml:space="preserve">• İşlem türünü Alacak/Borç olarak işaretlememek (bakiye yönü bozulur)</t>
  </si>
  <si>
    <t xml:space="preserve">• Faiz oranını dönemin emsal oranına göre güncellememek</t>
  </si>
  <si>
    <t xml:space="preserve">• Kasa bakiyesini dönem içinde hiç kaydetmemek (adat sıfır kalır)</t>
  </si>
  <si>
    <t xml:space="preserve">Bu dosya karar destek aracıdır; faiz faturası düzenlemeden önce mali müşavirinizle mutabakat sağlayın.</t>
  </si>
  <si>
    <t xml:space="preserve">ORTAK CARI — Ortaklar Cari &amp; Kasa Adat Faiz Faturası Hesaplayıcı</t>
  </si>
  <si>
    <t xml:space="preserve">Ortak Cari Hesabı</t>
  </si>
  <si>
    <t xml:space="preserve">Sarı hücrelere işlem girin; kayıtları ortak bazında gruplu ve tarih sıralı tutun. Bakiye ortak adı değişince yeniden başlar; adat otomatik hesaplanır.</t>
  </si>
  <si>
    <t xml:space="preserve">Tarih</t>
  </si>
  <si>
    <t xml:space="preserve">Ortak Adı</t>
  </si>
  <si>
    <t xml:space="preserve">İşlem Türü</t>
  </si>
  <si>
    <t xml:space="preserve">Tutar (₺)</t>
  </si>
  <si>
    <t xml:space="preserve">İşaretli Tutar</t>
  </si>
  <si>
    <t xml:space="preserve">Bakiye (₺)</t>
  </si>
  <si>
    <t xml:space="preserve">Gün Sayısı</t>
  </si>
  <si>
    <t xml:space="preserve">Adat (₺·gün)</t>
  </si>
  <si>
    <t xml:space="preserve">Faiz (₺)</t>
  </si>
  <si>
    <t xml:space="preserve">Açıklama</t>
  </si>
  <si>
    <t xml:space="preserve">Ahmet Yılmaz</t>
  </si>
  <si>
    <t xml:space="preserve">Alacak</t>
  </si>
  <si>
    <t xml:space="preserve">Sermaye katkısı</t>
  </si>
  <si>
    <t xml:space="preserve">Ayşe Demir</t>
  </si>
  <si>
    <t xml:space="preserve">Borç</t>
  </si>
  <si>
    <t xml:space="preserve">Avans çekişi</t>
  </si>
  <si>
    <t xml:space="preserve">Mehmet Kaya</t>
  </si>
  <si>
    <t xml:space="preserve">Ortak katkısı</t>
  </si>
  <si>
    <t xml:space="preserve">Sarı hücreler manuel giriştir; formül hücreleri kilitli ve korumalıdır.</t>
  </si>
  <si>
    <t xml:space="preserve">KASA ADAT — Ortaklar Cari &amp; Kasa Adat Faiz Faturası Hesaplayıcı</t>
  </si>
  <si>
    <t xml:space="preserve">Kasa Adat Hesabı</t>
  </si>
  <si>
    <t xml:space="preserve">Sarı hücrelere dönem içindeki gün sonu kasa bakiyelerini girin. Adat ve faiz payı otomatik hesaplanır.</t>
  </si>
  <si>
    <t xml:space="preserve">Gün Sonu Bakiye (₺)</t>
  </si>
  <si>
    <t xml:space="preserve">Not</t>
  </si>
  <si>
    <t xml:space="preserve">Ocak sonu kasa</t>
  </si>
  <si>
    <t xml:space="preserve">Dönem sonu</t>
  </si>
  <si>
    <t xml:space="preserve">Şubat sonu kasa</t>
  </si>
  <si>
    <t xml:space="preserve">Mart sonu kasa</t>
  </si>
  <si>
    <t xml:space="preserve">Nisan sonu kasa</t>
  </si>
  <si>
    <t xml:space="preserve">Mayıs sonu kasa</t>
  </si>
  <si>
    <t xml:space="preserve">Haziran sonu kasa</t>
  </si>
  <si>
    <t xml:space="preserve">HESAP — Ortaklar Cari &amp; Kasa Adat Faiz Faturası Hesaplayıcı</t>
  </si>
  <si>
    <t xml:space="preserve">Adat ve Faiz Hesap Motoru</t>
  </si>
  <si>
    <t xml:space="preserve">Aşağıdaki özet, ortak cari ve kasa tablolarından otomatik beslenir; elle değiştirilmez.</t>
  </si>
  <si>
    <t xml:space="preserve">Ortak Bazında Özet</t>
  </si>
  <si>
    <t xml:space="preserve">Ortak</t>
  </si>
  <si>
    <t xml:space="preserve">Net Bakiye (₺)</t>
  </si>
  <si>
    <t xml:space="preserve">Toplam Adat (₺·gün)</t>
  </si>
  <si>
    <t xml:space="preserve">Faiz Payı (₺)</t>
  </si>
  <si>
    <t xml:space="preserve">Bakiye Payı</t>
  </si>
  <si>
    <t xml:space="preserve">TOPLAM</t>
  </si>
  <si>
    <t xml:space="preserve">Ortak Cari Net Bakiye</t>
  </si>
  <si>
    <t xml:space="preserve">Ortak Cari Toplam Adat</t>
  </si>
  <si>
    <t xml:space="preserve">Ortak Cari Faiz Tutarı</t>
  </si>
  <si>
    <t xml:space="preserve">Kasa Toplam Adat</t>
  </si>
  <si>
    <t xml:space="preserve">Kasa Adat Faiz Tutarı</t>
  </si>
  <si>
    <t xml:space="preserve">Brüt Faiz Tutarı</t>
  </si>
  <si>
    <t xml:space="preserve">Fatura Tutarı (KDV Hariç)</t>
  </si>
  <si>
    <t xml:space="preserve">Örtülü Sermaye Risk Bakiye</t>
  </si>
  <si>
    <t xml:space="preserve">Örtülü Sermaye Oranı</t>
  </si>
  <si>
    <t xml:space="preserve">Ortalama Bakiye (Adat/Gün)</t>
  </si>
  <si>
    <t xml:space="preserve">Toplam Gün (Ortak Cari)</t>
  </si>
  <si>
    <t xml:space="preserve">Hesap satırları yalnızca ortak cari, kasa ve AYARLAR'daki orandan beslenir; korumalıdır.</t>
  </si>
  <si>
    <t xml:space="preserve">ANALITIK MOTOR — Ortaklar Cari &amp; Kasa Adat Faiz Faturası Hesaplayıcı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</si>
  <si>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</si>
  <si>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</si>
  <si>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</si>
  <si>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</si>
  <si>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</si>
  <si>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</si>
  <si>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Dönem Bakiye Değişim Oranı</t>
  </si>
  <si>
    <t xml:space="preserve">T2</t>
  </si>
  <si>
    <t xml:space="preserve">Ortak Adat Trendi (Son 3 Kayıt Ortalaması)</t>
  </si>
  <si>
    <t xml:space="preserve">T4</t>
  </si>
  <si>
    <t xml:space="preserve">Kasa Ortalama Bakiye Farkı</t>
  </si>
  <si>
    <t xml:space="preserve">O1</t>
  </si>
  <si>
    <t xml:space="preserve">Ortak Adat Sapması (STDEV)</t>
  </si>
  <si>
    <t xml:space="preserve">O2</t>
  </si>
  <si>
    <t xml:space="preserve">Tornado: En Büyük Etki</t>
  </si>
  <si>
    <t xml:space="preserve">O3</t>
  </si>
  <si>
    <t xml:space="preserve">Senaryo Bant Genişliği</t>
  </si>
  <si>
    <t xml:space="preserve">O6</t>
  </si>
  <si>
    <t xml:space="preserve">Ortak Yoğunlaşması (HHI)</t>
  </si>
  <si>
    <t xml:space="preserve">O8</t>
  </si>
  <si>
    <t xml:space="preserve">Veri Kalite Skoru</t>
  </si>
  <si>
    <t xml:space="preserve">I1</t>
  </si>
  <si>
    <t xml:space="preserve">Gelecek Dönem Faiz Tahmini</t>
  </si>
  <si>
    <t xml:space="preserve">I2</t>
  </si>
  <si>
    <t xml:space="preserve">Adat Yüzdelik P90</t>
  </si>
  <si>
    <t xml:space="preserve">KONTROLLER — Ortaklar Cari &amp; Kasa Adat Faiz Faturası Hesaplayıcı</t>
  </si>
  <si>
    <t xml:space="preserve">Giriş Kalite Kontrolleri</t>
  </si>
  <si>
    <t xml:space="preserve">Aşağıdaki kontroller canlı formüllerle çalışır; sorun varsa uyarı üretir.</t>
  </si>
  <si>
    <t xml:space="preserve">Boş ortak adı var mı?</t>
  </si>
  <si>
    <t xml:space="preserve">Boş tutar var mı?</t>
  </si>
  <si>
    <t xml:space="preserve">Negatif tutar var mı?</t>
  </si>
  <si>
    <t xml:space="preserve">İşlem türü dışı değer var mı?</t>
  </si>
  <si>
    <t xml:space="preserve">Kasa negatif bakiye var mı?</t>
  </si>
  <si>
    <t xml:space="preserve">Net bakiye negatif mi?</t>
  </si>
  <si>
    <t xml:space="preserve">Faiz tutarı eşiği aşılıyor mu?</t>
  </si>
  <si>
    <t xml:space="preserve">Örtülü sermaye oranı eşiği aşılıyor mu?</t>
  </si>
  <si>
    <t xml:space="preserve">Veri Kalitesi Skoru (0-100)</t>
  </si>
  <si>
    <t xml:space="preserve">Boş ve geçersiz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</si>
  <si>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</si>
  <si>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</si>
  <si>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</si>
  <si>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</si>
  <si>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</si>
  <si>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Ortaklar Cari &amp; Kasa Adat Faiz Faturası Hesaplayıcı</t>
  </si>
  <si>
    <t xml:space="preserve">Karar Kapısı — Cari/Adat Faiz Faturası</t>
  </si>
  <si>
    <t xml:space="preserve">Net bakiye, faiz tutarı ve örtülü sermaye oranına göre üretilen karar.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</si>
  <si>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</si>
  <si>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</si>
  <si>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</si>
  <si>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</si>
  <si>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</si>
  <si>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</si>
  <si>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faiz faturası düzenleme onayı değildir.</t>
  </si>
  <si>
    <t xml:space="preserve">PANO — Ortaklar Cari &amp; Kasa Adat Faiz Faturası Hesaplayıcı</t>
  </si>
  <si>
    <t xml:space="preserve">Yönetim Paneli</t>
  </si>
  <si>
    <t xml:space="preserve">Fatura Tutarı</t>
  </si>
  <si>
    <t xml:space="preserve">Kasa Adat Faizi</t>
  </si>
  <si>
    <t xml:space="preserve">Karar</t>
  </si>
  <si>
    <t xml:space="preserve">Toplam Adat (Ortak)</t>
  </si>
  <si>
    <t xml:space="preserve">Ortak Bazında Net Bakiye</t>
  </si>
  <si>
    <t xml:space="preserve">Ortak Adat Payı</t>
  </si>
  <si>
    <t xml:space="preserve">Kasa Bakiye Trendi</t>
  </si>
  <si>
    <t xml:space="preserve">Gelecek Dönem Faiz Tahmini (Tahmin Aralıklı)</t>
  </si>
  <si>
    <t xml:space="preserve">Son N İşlem Ortalama Faiz</t>
  </si>
  <si>
    <t xml:space="preserve">Son N İşlem Faiz Standart Sapma</t>
  </si>
  <si>
    <t xml:space="preserve">Alt Tahmin Sınırı</t>
  </si>
  <si>
    <t xml:space="preserve">Üst Tahmin Sınırı</t>
  </si>
  <si>
    <t xml:space="preserve">Senaryo Brüt Faiz</t>
  </si>
  <si>
    <t xml:space="preserve">İyimser</t>
  </si>
  <si>
    <t xml:space="preserve">Baz</t>
  </si>
  <si>
    <t xml:space="preserve">Kötümser</t>
  </si>
  <si>
    <t xml:space="preserve">Kasa Adat Payı (İlk 6 Kayıt)</t>
  </si>
  <si>
    <t xml:space="preserve">Paneldeki tüm göstergeler canlı formüllerden beslenir.</t>
  </si>
  <si>
    <t xml:space="preserve">SENARYO DUYARLILIK — Ortaklar Cari &amp; Kasa Adat Faiz Faturası Hesaplayıcı</t>
  </si>
  <si>
    <t xml:space="preserve">Senaryo ve Duyarlılık Analizi</t>
  </si>
  <si>
    <t xml:space="preserve">İyimser, baz ve kötümser faiz oranı senaryolarında brüt faiz; ardından hangi değişkenin sonucu en çok etkilediğini gösteren tornado analizi.</t>
  </si>
  <si>
    <t xml:space="preserve">Senaryo</t>
  </si>
  <si>
    <t xml:space="preserve">Faiz Oranı Çarpanı</t>
  </si>
  <si>
    <t xml:space="preserve">Brüt Faiz</t>
  </si>
  <si>
    <t xml:space="preserve">İYİMSER</t>
  </si>
  <si>
    <t xml:space="preserve">BAZ</t>
  </si>
  <si>
    <t xml:space="preserve">KÖTÜMSER</t>
  </si>
  <si>
    <t xml:space="preserve">Tornado: Brüt Faize Etki</t>
  </si>
  <si>
    <t xml:space="preserve">Faiz Oranı +%1</t>
  </si>
  <si>
    <t xml:space="preserve">Adat +%1</t>
  </si>
  <si>
    <t xml:space="preserve">En Etkili Değişken</t>
  </si>
  <si>
    <t xml:space="preserve">Senaryo çarpanları AYARLAR'daki parametrelerden türetilir.</t>
  </si>
  <si>
    <t xml:space="preserve">ORTAK CARİ &amp; KASA ADAT FAİZ FATURASI — YÖNETİCİ ÖZETİ</t>
  </si>
  <si>
    <t xml:space="preserve">Varsayımlar ve Önemli Notlar</t>
  </si>
  <si>
    <t xml:space="preserve">• Faiz oranı AYARLAR sayfasından alınır; dönemin emsal faiz oranına göre güncellenmelidir.</t>
  </si>
  <si>
    <t xml:space="preserve">• Adat = Bakiye × Gün; gün sayısı işlemler arası süre, son kayıtta rapor tarihine kadardır.</t>
  </si>
  <si>
    <t xml:space="preserve">• Ortak cari bakiyesinin öz kaynağa oranı eşiği aşarsa örtülü sermaye/KKEG riski İNCELE olarak işaretlenir.</t>
  </si>
  <si>
    <t xml:space="preserve">• Faiz faturası KDV'ye tabi değildir; fatura tutarı KDV hariç gösterilir.</t>
  </si>
  <si>
    <t xml:space="preserve">• Bu dosya faiz faturası düzenleme onayı değildir; mali müşavirle mutabakat şarttır.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</si>
  <si>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</si>
  <si>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</si>
  <si>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Ortaklar Cari &amp; Kasa Adat Faiz Faturası Hesaplayıcı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</si>
  <si>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</si>
  <si>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</si>
  <si>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</si>
  <si>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Ortaklar Cari &amp; Kasa Adat Faiz Faturası Hesaplayıcı</t>
  </si>
  <si>
    <t xml:space="preserve">Değişiklik Kaydı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</si>
  <si>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</si>
  <si>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</si>
  <si>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</si>
  <si>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</si>
  <si>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</si>
  <si>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</si>
  <si>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</si>
  <si>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</si>
  <si>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</si>
  <si>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Ortaklar Cari &amp; Kasa Adat Faiz Faturası Hesaplayıcı</t>
  </si>
  <si>
    <t xml:space="preserve">Bağlı Listeler</t>
  </si>
  <si>
    <t xml:space="preserve">Bu sayfadaki listeler açılır menüleri besler; yeni seçenek eklemek için sarı hücrelere yazın.</t>
  </si>
  <si>
    <t xml:space="preserve">Ortak Adları</t>
  </si>
  <si>
    <t xml:space="preserve">Zeynep Şahin</t>
  </si>
  <si>
    <t xml:space="preserve">Ali Öztürk</t>
  </si>
  <si>
    <t xml:space="preserve">Fatma Çelik</t>
  </si>
  <si>
    <t xml:space="preserve">Murat Aydın</t>
  </si>
  <si>
    <t xml:space="preserve">Elif Arslan</t>
  </si>
  <si>
    <t xml:space="preserve">Mustafa Kılıç</t>
  </si>
  <si>
    <t xml:space="preserve">Hüseyin Doğan</t>
  </si>
  <si>
    <t xml:space="preserve">AYARLAR — Ortaklar Cari &amp; Kasa Adat Faiz Faturası Hesaplayıcı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</si>
  <si>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</si>
  <si>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</si>
  <si>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</si>
  <si>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</si>
  <si>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</si>
  <si>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</si>
  <si>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</si>
  <si>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</si>
  <si>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</si>
  <si>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</si>
  <si>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</si>
  <si>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</si>
  <si>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</si>
  <si>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</si>
  <si>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</si>
  <si>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</si>
  <si>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</si>
  <si>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</si>
  <si>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</si>
  <si>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</si>
  <si>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</si>
  <si>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</si>
  <si>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</si>
  <si>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AdatFaizOran</t>
  </si>
  <si>
    <t xml:space="preserve">Oran</t>
  </si>
  <si>
    <t xml:space="preserve">Yıllık adat faiz oranı; dönemin emsal mevduat oranına göre güncellenir.</t>
  </si>
  <si>
    <t xml:space="preserve">Varsayım</t>
  </si>
  <si>
    <t xml:space="preserve">AdatYilGunSayisi</t>
  </si>
  <si>
    <t xml:space="preserve">Gün</t>
  </si>
  <si>
    <t xml:space="preserve">Adat faizinde yılın gün bazı (faiz = adat × oran / bu değer).</t>
  </si>
  <si>
    <t xml:space="preserve">AdatFaizEsik</t>
  </si>
  <si>
    <t xml:space="preserve">TL</t>
  </si>
  <si>
    <t xml:space="preserve">Brüt faiz tutarı eşiği; üzerinde karar İNCELE olur.</t>
  </si>
  <si>
    <t xml:space="preserve">AdatOzKaynak</t>
  </si>
  <si>
    <t xml:space="preserve">Şirket öz kaynağı; örtülü sermaye oranı hesabında payda.</t>
  </si>
  <si>
    <t xml:space="preserve">AdatOzKaynakEsik</t>
  </si>
  <si>
    <t xml:space="preserve">Ortak cari bakiyesinin öz kaynağa oranı eşiği; üzerinde KKEG riski.</t>
  </si>
  <si>
    <t xml:space="preserve">AdatIyiSenaryo</t>
  </si>
  <si>
    <t xml:space="preserve">İyimser senaryoda brüt faiz bu çarpanla hesaplanır.</t>
  </si>
  <si>
    <t xml:space="preserve">AdatBazSenaryo</t>
  </si>
  <si>
    <t xml:space="preserve">Baz senaryoda brüt faiz bu çarpanla hesaplanır.</t>
  </si>
  <si>
    <t xml:space="preserve">AdatKotuSenaryo</t>
  </si>
  <si>
    <t xml:space="preserve">Kötümser senaryoda brüt faiz bu çarpanla hesaplanır.</t>
  </si>
  <si>
    <t xml:space="preserve">AdatTornadoOran</t>
  </si>
  <si>
    <t xml:space="preserve">Faiz oranının %1 artışının brüt faize etkisi.</t>
  </si>
  <si>
    <t xml:space="preserve">AdatTornadoAdat</t>
  </si>
  <si>
    <t xml:space="preserve">Adatın %1 artışının brüt faize etkisi.</t>
  </si>
  <si>
    <t xml:space="preserve">AdatTahminCarpan</t>
  </si>
  <si>
    <t xml:space="preserve">Tahmin bandı genişliği (standart sapma katı).</t>
  </si>
  <si>
    <t xml:space="preserve">AdatKaliteIyi</t>
  </si>
  <si>
    <t xml:space="preserve">Skor</t>
  </si>
  <si>
    <t xml:space="preserve">Kalite skoru bu eşiğin üzerindeyse YÜKSEK kalite.</t>
  </si>
  <si>
    <t xml:space="preserve">AdatKaliteOrta</t>
  </si>
  <si>
    <t xml:space="preserve">Kalite skoru bu eşiğin üzerindeyse ORTA kalite.</t>
  </si>
  <si>
    <t xml:space="preserve">AdatAksiyon1_ACIKLAMA</t>
  </si>
  <si>
    <t xml:space="preserve">Örtülü sermaye oranı eşikte ise ortak cari bakiyesini azaltın veya faiz oranını emsal ile mutabakatlandırın.</t>
  </si>
  <si>
    <t xml:space="preserve">İNCELE kararında gösterilen ilk öneri.</t>
  </si>
  <si>
    <t xml:space="preserve">AdatAksiyon2_ACIKLAMA</t>
  </si>
  <si>
    <t xml:space="preserve">Faiz tutarı eşiği aşılıyorsa fatura düzenlemeden önce belgeleri ve hesapları mali müşavirle doğrulayın.</t>
  </si>
  <si>
    <t xml:space="preserve">İNCELE kararında gösterilen ikinci öneri.</t>
  </si>
  <si>
    <t xml:space="preserve">AdatAksiyon3_ACIKLAMA</t>
  </si>
  <si>
    <t xml:space="preserve">Kasa bakiyelerinin dönem boyunca eksiksiz kaydedildiğini doğrulayın; adat hesabı gün sonu bakiyelerine dayanır.</t>
  </si>
  <si>
    <t xml:space="preserve">İNCELE kararında gösterilen üçüncü öneri.</t>
  </si>
  <si>
    <t xml:space="preserve">AdatP90Oran</t>
  </si>
  <si>
    <t xml:space="preserve">Adat dağılımında üst yüzdelik dilimin oranı.</t>
  </si>
  <si>
    <t xml:space="preserve">AdatPanelSatir1</t>
  </si>
  <si>
    <t xml:space="preserve">Satır</t>
  </si>
  <si>
    <t xml:space="preserve">PANO'daki kasa trendi ve faiz tahmini grafiğinin tablodaki veri satırı (1. veri).</t>
  </si>
  <si>
    <t xml:space="preserve">AdatPanelSatir2</t>
  </si>
  <si>
    <t xml:space="preserve">PANO'daki kasa trendi ve faiz tahmini grafiğinin tablodaki veri satırı (2. veri).</t>
  </si>
  <si>
    <t xml:space="preserve">AdatPanelSatir3</t>
  </si>
  <si>
    <t xml:space="preserve">PANO'daki kasa trendi ve faiz tahmini grafiğinin tablodaki veri satırı (3. veri).</t>
  </si>
  <si>
    <t xml:space="preserve">AdatPanelSatir4</t>
  </si>
  <si>
    <t xml:space="preserve">PANO'daki kasa trendi ve faiz tahmini grafiğinin tablodaki veri satırı (4. veri).</t>
  </si>
  <si>
    <t xml:space="preserve">AdatPanelSatir5</t>
  </si>
  <si>
    <t xml:space="preserve">PANO'daki kasa trendi ve faiz tahmini grafiğinin tablodaki veri satırı (5. veri).</t>
  </si>
  <si>
    <t xml:space="preserve">AdatPanelSatir6</t>
  </si>
  <si>
    <t xml:space="preserve">PANO'daki kasa trendi ve faiz tahmini grafiğinin tablodaki veri satırı (6. veri).</t>
  </si>
  <si>
    <t xml:space="preserve">AdatPanelSatir7</t>
  </si>
  <si>
    <t xml:space="preserve">PANO'daki kasa trendi ve faiz tahmini grafiğinin tablodaki veri satırı (7. veri).</t>
  </si>
  <si>
    <t xml:space="preserve">AdatPanelSatir8</t>
  </si>
  <si>
    <t xml:space="preserve">PANO'daki kasa trendi ve faiz tahmini grafiğinin tablodaki veri satırı (8. veri).</t>
  </si>
  <si>
    <t xml:space="preserve">AdatPanelSatir9</t>
  </si>
  <si>
    <t xml:space="preserve">PANO'daki kasa trendi ve faiz tahmini grafiğinin tablodaki veri satırı (9. veri).</t>
  </si>
  <si>
    <t xml:space="preserve">AdatPanelSatir10</t>
  </si>
  <si>
    <t xml:space="preserve">PANO'daki kasa trendi ve faiz tahmini grafiğinin tablodaki veri satırı (10. veri).</t>
  </si>
  <si>
    <t xml:space="preserve">AdatPanelSatir11</t>
  </si>
  <si>
    <t xml:space="preserve">PANO'daki kasa trendi ve faiz tahmini grafiğinin tablodaki veri satırı (11. veri).</t>
  </si>
  <si>
    <t xml:space="preserve">AdatPanelSatir12</t>
  </si>
  <si>
    <t xml:space="preserve">PANO'daki kasa trendi ve faiz tahmini grafiğinin tablodaki veri satırı (12. veri).</t>
  </si>
  <si>
    <t xml:space="preserve">KILAVUZ — Ortaklar Cari &amp; Kasa Adat Faiz Faturası Hesaplayıcı</t>
  </si>
  <si>
    <t xml:space="preserve">Kullanım Kılavuzu</t>
  </si>
  <si>
    <t xml:space="preserve">Veri girişi</t>
  </si>
  <si>
    <t xml:space="preserve">ORTAK_CARI sayfasındaki sarı hücrelere ortak işlemlerini, KASA_ADAT sayfasındaki sarı hücrelere gün sonu kasa bakiyelerini girin. Ortak cari kayıtlarını ortak bazında gruplu ve tarih sıralı tutun; bakiye, gün sayısı ve adat otomatik hesaplanır.</t>
  </si>
  <si>
    <t xml:space="preserve">Hesap katmanı</t>
  </si>
  <si>
    <t xml:space="preserve">HESAP sayfası ortak bazında net bakiye, adat, faiz payı, kasa adat faizi, brüt faiz ve fatura tutarını üretir; örtülü sermaye oranını izler.</t>
  </si>
  <si>
    <t xml:space="preserve">Karar ve rapor</t>
  </si>
  <si>
    <t xml:space="preserve">KARAR sayfası UYGUN/İNCELE/DURDUR kararını üretir; RAPOR yöneticiye sunulabilir.</t>
  </si>
  <si>
    <t xml:space="preserve">Ayarlar</t>
  </si>
  <si>
    <t xml:space="preserve">AYARLAR sayfasındaki yıllık faiz oranını, öz kaynak ve eşikleri döneme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</si>
  <si>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</si>
  <si>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</si>
  <si>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faiz faturası düzenlemeden önce mali müşavirle mutabakat sağlayın.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</si>
  <si>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</si>
  <si>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</si>
  <si>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Yıllık Adat Faiz Oranı</t>
  </si>
  <si>
    <t xml:space="preserve">• Brüt Faiz Tutarı Eşiği</t>
  </si>
  <si>
    <t xml:space="preserve">• Şirket Öz Kaynağı ve Örtülü Sermaye Oranı Eşiği</t>
  </si>
  <si>
    <t xml:space="preserve">• İyimser, Baz ve Kötümser Senaryo Çarpanları</t>
  </si>
  <si>
    <t xml:space="preserve">• Tornado Faiz Oranı ve Adat Etkisi Oranları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</si>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</sst>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₺ &quot;#,##0;[RED]&quot;(₺ &quot;#,##0\);\-"/>
    <numFmt numFmtId="167" formatCode="#,##0"/>
    <numFmt numFmtId="168" formatCode="0.0%;[RED]\(0.0%\)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3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B8CD97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2C3D5"/>
      <rgbColor rgb="FFD09493"/>
      <rgbColor rgb="FFCC99FF"/>
      <rgbColor rgb="FFF2F2F2"/>
      <rgbColor rgb="FF4A7EBB"/>
      <rgbColor rgb="FF33CCCC"/>
      <rgbColor rgb="FF8AA64F"/>
      <rgbColor rgb="FFFFCC00"/>
      <rgbColor rgb="FFB08948"/>
      <rgbColor rgb="FFFF6600"/>
      <rgbColor rgb="FF725990"/>
      <rgbColor rgb="FFA99BBD"/>
      <rgbColor rgb="FF0F2742"/>
      <rgbColor rgb="FF4299B0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Ortak Bazında Net Bakiye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PANO!$A$11:$A$20</c:f>
              <c:strCache>
                <c:ptCount val="10"/>
                <c:pt idx="0">
                  <c:v>Ayşe Demir</c:v>
                </c:pt>
                <c:pt idx="1">
                  <c:v>Mehmet Kaya</c:v>
                </c:pt>
                <c:pt idx="2">
                  <c:v>Zeynep Şahin</c:v>
                </c:pt>
                <c:pt idx="3">
                  <c:v>Ali Öztürk</c:v>
                </c:pt>
                <c:pt idx="4">
                  <c:v>Fatma Çelik</c:v>
                </c:pt>
                <c:pt idx="5">
                  <c:v>Murat Aydın</c:v>
                </c:pt>
                <c:pt idx="6">
                  <c:v>Elif Arslan</c:v>
                </c:pt>
                <c:pt idx="7">
                  <c:v>Mustafa Kılıç</c:v>
                </c:pt>
                <c:pt idx="8">
                  <c:v>Hüseyin Doğan</c:v>
                </c:pt>
                <c:pt idx="9">
                  <c:v/>
                </c:pt>
              </c:strCache>
            </c:strRef>
          </c:cat>
          <c:val>
            <c:numRef>
              <c:f>PANO!$B$11:$B$21</c:f>
              <c:numCache>
                <c:formatCode>"₺ "#,##0;[RED]"(₺ "#,##0\);\-</c:formatCode>
                <c:ptCount val="11"/>
                <c:pt idx="0">
                  <c:v>250000</c:v>
                </c:pt>
                <c:pt idx="1">
                  <c:v>200000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87314780"/>
        <c:axId val="40962248"/>
      </c:barChart>
      <c:catAx>
        <c:axId val="873147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962248"/>
        <c:crosses val="autoZero"/>
        <c:auto val="1"/>
        <c:lblAlgn val="ctr"/>
        <c:lblOffset val="100"/>
        <c:noMultiLvlLbl val="0"/>
      </c:catAx>
      <c:valAx>
        <c:axId val="40962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147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Ortak Adat Payı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PANO!F10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PANO!$E$11:$E$20</c:f>
              <c:strCache>
                <c:ptCount val="10"/>
                <c:pt idx="0">
                  <c:v>Ayşe Demir</c:v>
                </c:pt>
                <c:pt idx="1">
                  <c:v>Mehmet Kaya</c:v>
                </c:pt>
                <c:pt idx="2">
                  <c:v>Zeynep Şahin</c:v>
                </c:pt>
                <c:pt idx="3">
                  <c:v>Ali Öztürk</c:v>
                </c:pt>
                <c:pt idx="4">
                  <c:v>Fatma Çelik</c:v>
                </c:pt>
                <c:pt idx="5">
                  <c:v>Murat Aydın</c:v>
                </c:pt>
                <c:pt idx="6">
                  <c:v>Elif Arslan</c:v>
                </c:pt>
                <c:pt idx="7">
                  <c:v>Mustafa Kılıç</c:v>
                </c:pt>
                <c:pt idx="8">
                  <c:v>Hüseyin Doğan</c:v>
                </c:pt>
                <c:pt idx="9">
                  <c:v/>
                </c:pt>
              </c:strCache>
            </c:strRef>
          </c:cat>
          <c:val>
            <c:numRef>
              <c:f>PANO!$F$11:$F$21</c:f>
              <c:numCache>
                <c:formatCode>0.0%;[RED]\(0.0%\);\-</c:formatCode>
                <c:ptCount val="11"/>
                <c:pt idx="0">
                  <c:v>0.634408602150538</c:v>
                </c:pt>
                <c:pt idx="1">
                  <c:v>0.365591397849462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Ortak Bazında Faiz Payı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PANO!$A$11:$A$20</c:f>
              <c:strCache>
                <c:ptCount val="10"/>
                <c:pt idx="0">
                  <c:v>Ayşe Demir</c:v>
                </c:pt>
                <c:pt idx="1">
                  <c:v>Mehmet Kaya</c:v>
                </c:pt>
                <c:pt idx="2">
                  <c:v>Zeynep Şahin</c:v>
                </c:pt>
                <c:pt idx="3">
                  <c:v>Ali Öztürk</c:v>
                </c:pt>
                <c:pt idx="4">
                  <c:v>Fatma Çelik</c:v>
                </c:pt>
                <c:pt idx="5">
                  <c:v>Murat Aydın</c:v>
                </c:pt>
                <c:pt idx="6">
                  <c:v>Elif Arslan</c:v>
                </c:pt>
                <c:pt idx="7">
                  <c:v>Mustafa Kılıç</c:v>
                </c:pt>
                <c:pt idx="8">
                  <c:v>Hüseyin Doğan</c:v>
                </c:pt>
                <c:pt idx="9">
                  <c:v/>
                </c:pt>
              </c:strCache>
            </c:strRef>
          </c:cat>
          <c:val>
            <c:numRef>
              <c:f>PANO!$C$11:$C$21</c:f>
              <c:numCache>
                <c:formatCode>"₺ "#,##0;[RED]"(₺ "#,##0\);\-</c:formatCode>
                <c:ptCount val="11"/>
                <c:pt idx="0">
                  <c:v>30.71</c:v>
                </c:pt>
                <c:pt idx="1">
                  <c:v>17.7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7148342"/>
        <c:axId val="93309287"/>
      </c:barChart>
      <c:catAx>
        <c:axId val="4714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309287"/>
        <c:crosses val="autoZero"/>
        <c:auto val="1"/>
        <c:lblAlgn val="ctr"/>
        <c:lblOffset val="100"/>
        <c:noMultiLvlLbl val="0"/>
      </c:catAx>
      <c:valAx>
        <c:axId val="93309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483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Kasa Gün Sonu Bakiye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PANO!$A$23:$A$32</c:f>
              <c:strCache>
                <c:ptCount val="10"/>
                <c:pt idx="0">
                  <c:v>Ocak sonu kasa</c:v>
                </c:pt>
                <c:pt idx="1">
                  <c:v>Şubat sonu kasa</c:v>
                </c:pt>
                <c:pt idx="2">
                  <c:v>Mart sonu kasa</c:v>
                </c:pt>
                <c:pt idx="3">
                  <c:v>Nisan sonu kasa</c:v>
                </c:pt>
                <c:pt idx="4">
                  <c:v>Mayıs sonu kasa</c:v>
                </c:pt>
                <c:pt idx="5">
                  <c:v>Haziran sonu kasa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PANO!$B$23:$B$33</c:f>
              <c:numCache>
                <c:formatCode>"₺ "#,##0;[RED]"(₺ "#,##0\);\-</c:formatCode>
                <c:ptCount val="11"/>
                <c:pt idx="0">
                  <c:v>85000</c:v>
                </c:pt>
                <c:pt idx="1">
                  <c:v>120000</c:v>
                </c:pt>
                <c:pt idx="2">
                  <c:v>95000</c:v>
                </c:pt>
                <c:pt idx="3">
                  <c:v>140000</c:v>
                </c:pt>
                <c:pt idx="4">
                  <c:v>110000</c:v>
                </c:pt>
                <c:pt idx="5">
                  <c:v>160000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941383"/>
        <c:axId val="81342613"/>
      </c:lineChart>
      <c:catAx>
        <c:axId val="6294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342613"/>
        <c:crosses val="autoZero"/>
        <c:auto val="1"/>
        <c:lblAlgn val="ctr"/>
        <c:lblOffset val="100"/>
        <c:noMultiLvlLbl val="0"/>
      </c:catAx>
      <c:valAx>
        <c:axId val="81342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9413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PANO!E24</c:f>
              <c:strCache>
                <c:ptCount val="1"/>
                <c:pt idx="0">
                  <c:v>₺ 1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PANO!$D$25:$D$28</c:f>
              <c:strCache>
                <c:ptCount val="4"/>
                <c:pt idx="0">
                  <c:v>Son N İşlem Ortalama Faiz</c:v>
                </c:pt>
                <c:pt idx="1">
                  <c:v>Son N İşlem Faiz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PANO!$E$25:$E$28</c:f>
              <c:numCache>
                <c:formatCode>"₺ "#,##0;[RED]"(₺ "#,##0\);\-</c:formatCode>
                <c:ptCount val="4"/>
                <c:pt idx="0">
                  <c:v>14</c:v>
                </c:pt>
                <c:pt idx="1">
                  <c:v>0</c:v>
                </c:pt>
                <c:pt idx="2">
                  <c:v>14</c:v>
                </c:pt>
                <c:pt idx="3">
                  <c:v>14</c:v>
                </c:pt>
              </c:numCache>
            </c:numRef>
          </c:val>
        </c:ser>
        <c:gapWidth val="150"/>
        <c:overlap val="0"/>
        <c:axId val="60298477"/>
        <c:axId val="13108349"/>
      </c:barChart>
      <c:catAx>
        <c:axId val="60298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108349"/>
        <c:crosses val="autoZero"/>
        <c:auto val="1"/>
        <c:lblAlgn val="ctr"/>
        <c:lblOffset val="100"/>
        <c:noMultiLvlLbl val="0"/>
      </c:catAx>
      <c:valAx>
        <c:axId val="13108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2984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Brüt Faiz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Brüt Faiz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PANO!$D$30:$D$32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PANO!$C$30:$C$32</c:f>
              <c:numCache>
                <c:formatCode>"₺ "#,##0;[RED]"(₺ "#,##0\);\-</c:formatCode>
                <c:ptCount val="3"/>
                <c:pt idx="0">
                  <c:v>183.98</c:v>
                </c:pt>
                <c:pt idx="1">
                  <c:v>167.25</c:v>
                </c:pt>
                <c:pt idx="2">
                  <c:v>150.53</c:v>
                </c:pt>
              </c:numCache>
            </c:numRef>
          </c:val>
        </c:ser>
        <c:gapWidth val="150"/>
        <c:overlap val="0"/>
        <c:axId val="58850631"/>
        <c:axId val="47106080"/>
      </c:barChart>
      <c:catAx>
        <c:axId val="58850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06080"/>
        <c:crosses val="autoZero"/>
        <c:auto val="1"/>
        <c:lblAlgn val="ctr"/>
        <c:lblOffset val="100"/>
        <c:noMultiLvlLbl val="0"/>
      </c:catAx>
      <c:valAx>
        <c:axId val="47106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8506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Faiz ve Fatura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Brüt Faiz Tutarı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PANO!$B$4:$B$6</c:f>
              <c:numCache>
                <c:formatCode>"₺ "#,##0;[RED]"(₺ "#,##0\);\-</c:formatCode>
                <c:ptCount val="3"/>
                <c:pt idx="0">
                  <c:v>167.25</c:v>
                </c:pt>
              </c:numCache>
            </c:numRef>
          </c:val>
        </c:ser>
        <c:gapWidth val="150"/>
        <c:overlap val="0"/>
        <c:axId val="57195969"/>
        <c:axId val="90594840"/>
      </c:barChart>
      <c:catAx>
        <c:axId val="57195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594840"/>
        <c:crosses val="autoZero"/>
        <c:auto val="1"/>
        <c:lblAlgn val="ctr"/>
        <c:lblOffset val="100"/>
        <c:noMultiLvlLbl val="0"/>
      </c:catAx>
      <c:valAx>
        <c:axId val="90594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959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Kasa Adat Dağılımı (İlk Kayıtlar)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PANO!$A$35:$A$40</c:f>
              <c:strCache>
                <c:ptCount val="6"/>
                <c:pt idx="0">
                  <c:v>Ocak sonu kasa</c:v>
                </c:pt>
                <c:pt idx="1">
                  <c:v>Şubat sonu kasa</c:v>
                </c:pt>
                <c:pt idx="2">
                  <c:v>Mart sonu kasa</c:v>
                </c:pt>
                <c:pt idx="3">
                  <c:v>Nisan sonu kasa</c:v>
                </c:pt>
                <c:pt idx="4">
                  <c:v>Mayıs sonu kasa</c:v>
                </c:pt>
                <c:pt idx="5">
                  <c:v>Haziran sonu kasa</c:v>
                </c:pt>
              </c:strCache>
            </c:strRef>
          </c:cat>
          <c:val>
            <c:numRef>
              <c:f>PANO!$B$35:$B$41</c:f>
              <c:numCache>
                <c:formatCode>"₺ "#,##0;[RED]"(₺ "#,##0\);\-</c:formatCode>
                <c:ptCount val="7"/>
                <c:pt idx="0">
                  <c:v>2380000</c:v>
                </c:pt>
                <c:pt idx="1">
                  <c:v>3720000</c:v>
                </c:pt>
                <c:pt idx="2">
                  <c:v>2850000</c:v>
                </c:pt>
                <c:pt idx="3">
                  <c:v>4340000</c:v>
                </c:pt>
                <c:pt idx="4">
                  <c:v>3300000</c:v>
                </c:pt>
                <c:pt idx="5">
                  <c:v>6240000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937440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948608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63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6" name="Chart 6"/>
        <xdr:cNvGraphicFramePr/>
      </xdr:nvGraphicFramePr>
      <xdr:xfrm>
        <a:off x="9374400" y="7448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7" name="Chart 7"/>
        <xdr:cNvGraphicFramePr/>
      </xdr:nvGraphicFramePr>
      <xdr:xfrm>
        <a:off x="1948608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448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Kasa" displayName="tblKasa" ref="A5:F1004" headerRowCount="1" totalsRowCount="0" totalsRowShown="0">
  <tableColumns count="6">
    <tableColumn id="1" name="Tarih"/>
    <tableColumn id="2" name="Açıklama"/>
    <tableColumn id="3" name="Gün Sonu Bakiye (₺)"/>
    <tableColumn id="4" name="Gün Sayısı">
      <calculatedColumnFormula>=IF(tblKasa[[#This Row],[Tarih]]="","",IFERROR(IF(INDEX(tblKasa[Tarih],ROW(tblKasa[[#This Row],[Tarih]])-ROW(tblKasa[[#Headers],[Tarih]])+1)=0,RaporTarihi,INDEX(tblKasa[Tarih],ROW(tblKasa[[#This Row],[Tarih]])-ROW(tblKasa[[#Headers],[Tarih]])+1))-tblKasa[[#This Row],[Tarih]],RaporTarihi-tblKasa[[#This Row],[Tarih]]))</calculatedColumnFormula>
    </tableColumn>
    <tableColumn id="5" name="Adat (₺·gün)">
      <calculatedColumnFormula>=IF(tblKasa[[#This Row],[Gün Sonu Bakiye (₺)]]="",0,ROUND(tblKasa[[#This Row],[Gün Sonu Bakiye (₺)]]*tblKasa[[#This Row],[Gün Sayısı]],0))</calculatedColumnFormula>
    </tableColumn>
    <tableColumn id="6" name="Not"/>
  </tableColumns>
</table>
</file>

<file path=xl/tables/table2.xml><?xml version="1.0" encoding="utf-8"?>
<table xmlns="http://schemas.openxmlformats.org/spreadsheetml/2006/main" id="2" name="tblOrtak" displayName="tblOrtak" ref="A5:J1004" headerRowCount="1" totalsRowCount="0" totalsRowShown="0">
  <tableColumns count="10">
    <tableColumn id="1" name="Tarih"/>
    <tableColumn id="2" name="Ortak Adı"/>
    <tableColumn id="3" name="İşlem Türü"/>
    <tableColumn id="4" name="Tutar (₺)"/>
    <tableColumn id="5" name="İşaretli Tutar">
      <calculatedColumnFormula>=IF(tblOrtak[[#This Row],[Tarih]]="","",IF(tblOrtak[[#This Row],[İşlem Türü]]="Borç",-tblOrtak[[#This Row],[Tutar (₺)]],tblOrtak[[#This Row],[Tutar (₺)]]))</calculatedColumnFormula>
    </tableColumn>
    <tableColumn id="6" name="Bakiye (₺)">
      <calculatedColumnFormula>=IF(tblOrtak[[#This Row],[Tarih]]="","",IFERROR(IF(INDEX(tblOrtak[Ortak Adı],ROW(tblOrtak[[#This Row],[Tarih]])-ROW(tblOrtak[[#Headers],[Tarih]])-1)=tblOrtak[[#This Row],[Ortak Adı]],INDEX(tblOrtak[Bakiye (₺)],ROW(tblOrtak[[#This Row],[Tarih]])-ROW(tblOrtak[[#Headers],[Tarih]])-1)+tblOrtak[[#This Row],[İşaretli Tutar]],tblOrtak[[#This Row],[İşaretli Tutar]]),tblOrtak[[#This Row],[İşaretli Tutar]]))</calculatedColumnFormula>
    </tableColumn>
    <tableColumn id="7" name="Gün Sayısı">
      <calculatedColumnFormula>=IF(tblOrtak[[#This Row],[Tarih]]="","",IFERROR(IF(INDEX(tblOrtak[Tarih],ROW(tblOrtak[[#This Row],[Tarih]])-ROW(tblOrtak[[#Headers],[Tarih]])+1)=0,RaporTarihi,INDEX(tblOrtak[Tarih],ROW(tblOrtak[[#This Row],[Tarih]])-ROW(tblOrtak[[#Headers],[Tarih]])+1))-tblOrtak[[#This Row],[Tarih]],RaporTarihi-tblOrtak[[#This Row],[Tarih]]))</calculatedColumnFormula>
    </tableColumn>
    <tableColumn id="8" name="Adat (₺·gün)">
      <calculatedColumnFormula>=IF(tblOrtak[[#This Row],[Bakiye (₺)]]="",0,ROUND(tblOrtak[[#This Row],[Bakiye (₺)]]*tblOrtak[[#This Row],[Gün Sayısı]],0))</calculatedColumnFormula>
    </tableColumn>
    <tableColumn id="9" name="Faiz (₺)">
      <calculatedColumnFormula>=IF(tblOrtak[[#This Row],[Adat (₺·gün)]]="",0,ROUND(tblOrtak[[#This Row],[Adat (₺·gün)]]*AdatFaizOran/AdatYilGunSayisi,2))</calculatedColumnFormula>
    </tableColumn>
    <tableColumn id="10" name="Açıkla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25.3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149.25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I5" s="14" t="s">
        <v>42</v>
      </c>
      <c r="J5" s="14" t="s">
        <v>43</v>
      </c>
    </row>
    <row r="6" customFormat="false" ht="16.4" hidden="false" customHeight="false" outlineLevel="0" collapsed="false">
      <c r="A6" s="15" t="n">
        <v>46027</v>
      </c>
      <c r="B6" s="16" t="s">
        <v>44</v>
      </c>
      <c r="C6" s="16" t="s">
        <v>45</v>
      </c>
      <c r="D6" s="17" t="n">
        <v>500000</v>
      </c>
      <c r="E6" s="18" t="n">
        <f aca="false">IF($A6="","",IF($C6="Borç",-$D6,$D6))</f>
        <v>500000</v>
      </c>
      <c r="F6" s="18" t="n">
        <f aca="false">IF($A6="","",IFERROR(IF(INDEX(tblOrtak[Ortak Adı],ROW($A6)-ROW(tblOrtak[[#Headers],[Tarih]])-1)=$B6,INDEX(tblOrtak[Bakiye (₺)],ROW($A6)-ROW(tblOrtak[[#Headers],[Tarih]])-1)+$E6,$E6),$E6))</f>
        <v>500000</v>
      </c>
      <c r="G6" s="19" t="n">
        <f aca="false">IF($A6="","",IFERROR(IF(INDEX(tblOrtak[Tarih],ROW($A6)-ROW(tblOrtak[[#Headers],[Tarih]])+1)=0,RaporTarihi,INDEX(tblOrtak[Tarih],ROW($A6)-ROW(tblOrtak[[#Headers],[Tarih]])+1))-$A6,RaporTarihi-$A6))</f>
        <v>7</v>
      </c>
      <c r="H6" s="18" t="n">
        <f aca="false">IF($F6="",0,ROUND($F6*$G6,0))</f>
        <v>3500000</v>
      </c>
      <c r="I6" s="18" t="n">
        <f aca="false">IF($H6="",0,ROUND($H6*AdatFaizOran/AdatYilGunSayisi,2))</f>
        <v>18.22</v>
      </c>
      <c r="J6" s="16" t="s">
        <v>46</v>
      </c>
    </row>
    <row r="7" customFormat="false" ht="16.4" hidden="false" customHeight="false" outlineLevel="0" collapsed="false">
      <c r="A7" s="15" t="n">
        <v>46034</v>
      </c>
      <c r="B7" s="16" t="s">
        <v>47</v>
      </c>
      <c r="C7" s="16" t="s">
        <v>45</v>
      </c>
      <c r="D7" s="17" t="n">
        <v>300000</v>
      </c>
      <c r="E7" s="18" t="n">
        <f aca="false">IF($A7="","",IF($C7="Borç",-$D7,$D7))</f>
        <v>300000</v>
      </c>
      <c r="F7" s="18" t="n">
        <f aca="false">IF($A7="","",IFERROR(IF(INDEX(tblOrtak[Ortak Adı],ROW($A7)-ROW(tblOrtak[[#Headers],[Tarih]])-1)=$B7,INDEX(tblOrtak[Bakiye (₺)],ROW($A7)-ROW(tblOrtak[[#Headers],[Tarih]])-1)+$E7,$E7),$E7))</f>
        <v>300000</v>
      </c>
      <c r="G7" s="19" t="n">
        <f aca="false">IF($A7="","",IFERROR(IF(INDEX(tblOrtak[Tarih],ROW($A7)-ROW(tblOrtak[[#Headers],[Tarih]])+1)=0,RaporTarihi,INDEX(tblOrtak[Tarih],ROW($A7)-ROW(tblOrtak[[#Headers],[Tarih]])+1))-$A7,RaporTarihi-$A7))</f>
        <v>22</v>
      </c>
      <c r="H7" s="18" t="n">
        <f aca="false">IF($F7="",0,ROUND($F7*$G7,0))</f>
        <v>6600000</v>
      </c>
      <c r="I7" s="18" t="n">
        <f aca="false">IF($H7="",0,ROUND($H7*AdatFaizOran/AdatYilGunSayisi,2))</f>
        <v>34.36</v>
      </c>
      <c r="J7" s="16" t="s">
        <v>46</v>
      </c>
    </row>
    <row r="8" customFormat="false" ht="16.4" hidden="false" customHeight="false" outlineLevel="0" collapsed="false">
      <c r="A8" s="15" t="n">
        <v>46056</v>
      </c>
      <c r="B8" s="16" t="s">
        <v>44</v>
      </c>
      <c r="C8" s="16" t="s">
        <v>48</v>
      </c>
      <c r="D8" s="17" t="n">
        <v>100000</v>
      </c>
      <c r="E8" s="20" t="n">
        <f aca="false">IF($A8="","",IF($C8="Borç",-$D8,$D8))</f>
        <v>-100000</v>
      </c>
      <c r="F8" s="18" t="n">
        <f aca="false">IF($A8="","",IFERROR(IF(INDEX(tblOrtak[Ortak Adı],ROW($A8)-ROW(tblOrtak[[#Headers],[Tarih]])-1)=$B8,INDEX(tblOrtak[Bakiye (₺)],ROW($A8)-ROW(tblOrtak[[#Headers],[Tarih]])-1)+$E8,$E8),$E8))</f>
        <v>-100000</v>
      </c>
      <c r="G8" s="19" t="n">
        <f aca="false">IF($A8="","",IFERROR(IF(INDEX(tblOrtak[Tarih],ROW($A8)-ROW(tblOrtak[[#Headers],[Tarih]])+1)=0,RaporTarihi,INDEX(tblOrtak[Tarih],ROW($A8)-ROW(tblOrtak[[#Headers],[Tarih]])+1))-$A8,RaporTarihi-$A8))</f>
        <v>15</v>
      </c>
      <c r="H8" s="18" t="n">
        <f aca="false">IF($F8="",0,ROUND($F8*$G8,0))</f>
        <v>-1500000</v>
      </c>
      <c r="I8" s="18" t="n">
        <f aca="false">IF($H8="",0,ROUND($H8*AdatFaizOran/AdatYilGunSayisi,2))</f>
        <v>-7.81</v>
      </c>
      <c r="J8" s="16" t="s">
        <v>49</v>
      </c>
    </row>
    <row r="9" customFormat="false" ht="16.4" hidden="false" customHeight="false" outlineLevel="0" collapsed="false">
      <c r="A9" s="15" t="n">
        <v>46071</v>
      </c>
      <c r="B9" s="16" t="s">
        <v>50</v>
      </c>
      <c r="C9" s="16" t="s">
        <v>45</v>
      </c>
      <c r="D9" s="17" t="n">
        <v>200000</v>
      </c>
      <c r="E9" s="18" t="n">
        <f aca="false">IF($A9="","",IF($C9="Borç",-$D9,$D9))</f>
        <v>200000</v>
      </c>
      <c r="F9" s="18" t="n">
        <f aca="false">IF($A9="","",IFERROR(IF(INDEX(tblOrtak[Ortak Adı],ROW($A9)-ROW(tblOrtak[[#Headers],[Tarih]])-1)=$B9,INDEX(tblOrtak[Bakiye (₺)],ROW($A9)-ROW(tblOrtak[[#Headers],[Tarih]])-1)+$E9,$E9),$E9))</f>
        <v>200000</v>
      </c>
      <c r="G9" s="19" t="n">
        <f aca="false">IF($A9="","",IFERROR(IF(INDEX(tblOrtak[Tarih],ROW($A9)-ROW(tblOrtak[[#Headers],[Tarih]])+1)=0,RaporTarihi,INDEX(tblOrtak[Tarih],ROW($A9)-ROW(tblOrtak[[#Headers],[Tarih]])+1))-$A9,RaporTarihi-$A9))</f>
        <v>17</v>
      </c>
      <c r="H9" s="18" t="n">
        <f aca="false">IF($F9="",0,ROUND($F9*$G9,0))</f>
        <v>3400000</v>
      </c>
      <c r="I9" s="18" t="n">
        <f aca="false">IF($H9="",0,ROUND($H9*AdatFaizOran/AdatYilGunSayisi,2))</f>
        <v>17.7</v>
      </c>
      <c r="J9" s="16" t="s">
        <v>51</v>
      </c>
    </row>
    <row r="10" customFormat="false" ht="16.4" hidden="false" customHeight="false" outlineLevel="0" collapsed="false">
      <c r="A10" s="15" t="n">
        <v>46088</v>
      </c>
      <c r="B10" s="16" t="s">
        <v>47</v>
      </c>
      <c r="C10" s="16" t="s">
        <v>48</v>
      </c>
      <c r="D10" s="17" t="n">
        <v>50000</v>
      </c>
      <c r="E10" s="20" t="n">
        <f aca="false">IF($A10="","",IF($C10="Borç",-$D10,$D10))</f>
        <v>-50000</v>
      </c>
      <c r="F10" s="18" t="n">
        <f aca="false">IF($A10="","",IFERROR(IF(INDEX(tblOrtak[Ortak Adı],ROW($A10)-ROW(tblOrtak[[#Headers],[Tarih]])-1)=$B10,INDEX(tblOrtak[Bakiye (₺)],ROW($A10)-ROW(tblOrtak[[#Headers],[Tarih]])-1)+$E10,$E10),$E10))</f>
        <v>-50000</v>
      </c>
      <c r="G10" s="19" t="n">
        <f aca="false">IF($A10="","",IFERROR(IF(INDEX(tblOrtak[Tarih],ROW($A10)-ROW(tblOrtak[[#Headers],[Tarih]])+1)=0,RaporTarihi,INDEX(tblOrtak[Tarih],ROW($A10)-ROW(tblOrtak[[#Headers],[Tarih]])+1))-$A10,RaporTarihi-$A10))</f>
        <v>14</v>
      </c>
      <c r="H10" s="18" t="n">
        <f aca="false">IF($F10="",0,ROUND($F10*$G10,0))</f>
        <v>-700000</v>
      </c>
      <c r="I10" s="18" t="n">
        <f aca="false">IF($H10="",0,ROUND($H10*AdatFaizOran/AdatYilGunSayisi,2))</f>
        <v>-3.64</v>
      </c>
      <c r="J10" s="16" t="s">
        <v>49</v>
      </c>
    </row>
    <row r="11" customFormat="false" ht="16.4" hidden="false" customHeight="false" outlineLevel="0" collapsed="false">
      <c r="A11" s="15" t="n">
        <v>46102</v>
      </c>
      <c r="B11" s="16" t="s">
        <v>44</v>
      </c>
      <c r="C11" s="16" t="s">
        <v>45</v>
      </c>
      <c r="D11" s="17" t="n">
        <v>150000</v>
      </c>
      <c r="E11" s="18" t="n">
        <f aca="false">IF($A11="","",IF($C11="Borç",-$D11,$D11))</f>
        <v>150000</v>
      </c>
      <c r="F11" s="18" t="n">
        <f aca="false">IF($A11="","",IFERROR(IF(INDEX(tblOrtak[Ortak Adı],ROW($A11)-ROW(tblOrtak[[#Headers],[Tarih]])-1)=$B11,INDEX(tblOrtak[Bakiye (₺)],ROW($A11)-ROW(tblOrtak[[#Headers],[Tarih]])-1)+$E11,$E11),$E11))</f>
        <v>150000</v>
      </c>
      <c r="G11" s="19" t="n">
        <f aca="false">IF($A11="","",IFERROR(IF(INDEX(tblOrtak[Tarih],ROW($A11)-ROW(tblOrtak[[#Headers],[Tarih]])+1)=0,RaporTarihi,INDEX(tblOrtak[Tarih],ROW($A11)-ROW(tblOrtak[[#Headers],[Tarih]])+1))-$A11,RaporTarihi-$A11))</f>
        <v>140</v>
      </c>
      <c r="H11" s="18" t="n">
        <f aca="false">IF($F11="",0,ROUND($F11*$G11,0))</f>
        <v>21000000</v>
      </c>
      <c r="I11" s="18" t="n">
        <f aca="false">IF($H11="",0,ROUND($H11*AdatFaizOran/AdatYilGunSayisi,2))</f>
        <v>109.32</v>
      </c>
      <c r="J11" s="16" t="s">
        <v>51</v>
      </c>
    </row>
    <row r="12" customFormat="false" ht="15" hidden="false" customHeight="false" outlineLevel="0" collapsed="false">
      <c r="A12" s="21"/>
      <c r="B12" s="22"/>
      <c r="C12" s="22"/>
      <c r="D12" s="23"/>
      <c r="E12" s="20" t="str">
        <f aca="false">IF($A12="","",IF($C12="Borç",-$D12,$D12))</f>
        <v/>
      </c>
      <c r="F12" s="18" t="str">
        <f aca="false">IF($A12="","",IFERROR(IF(INDEX(tblOrtak[Ortak Adı],ROW($A12)-ROW(tblOrtak[[#Headers],[Tarih]])-1)=$B12,INDEX(tblOrtak[Bakiye (₺)],ROW($A12)-ROW(tblOrtak[[#Headers],[Tarih]])-1)+$E12,$E12),$E12))</f>
        <v/>
      </c>
      <c r="G12" s="19" t="str">
        <f aca="false">IF($A12="","",IFERROR(IF(INDEX(tblOrtak[Tarih],ROW($A12)-ROW(tblOrtak[[#Headers],[Tarih]])+1)=0,RaporTarihi,INDEX(tblOrtak[Tarih],ROW($A12)-ROW(tblOrtak[[#Headers],[Tarih]])+1))-$A12,RaporTarihi-$A12))</f>
        <v/>
      </c>
      <c r="H12" s="18" t="n">
        <f aca="false">IF($F12="",0,ROUND($F12*$G12,0))</f>
        <v>0</v>
      </c>
      <c r="I12" s="18" t="n">
        <f aca="false">IF($H12="",0,ROUND($H12*AdatFaizOran/AdatYilGunSayisi,2))</f>
        <v>0</v>
      </c>
      <c r="J12" s="22"/>
    </row>
    <row r="13" customFormat="false" ht="15" hidden="false" customHeight="false" outlineLevel="0" collapsed="false">
      <c r="A13" s="21"/>
      <c r="B13" s="22"/>
      <c r="C13" s="22"/>
      <c r="D13" s="23"/>
      <c r="E13" s="20" t="str">
        <f aca="false">IF($A13="","",IF($C13="Borç",-$D13,$D13))</f>
        <v/>
      </c>
      <c r="F13" s="18" t="str">
        <f aca="false">IF($A13="","",IFERROR(IF(INDEX(tblOrtak[Ortak Adı],ROW($A13)-ROW(tblOrtak[[#Headers],[Tarih]])-1)=$B13,INDEX(tblOrtak[Bakiye (₺)],ROW($A13)-ROW(tblOrtak[[#Headers],[Tarih]])-1)+$E13,$E13),$E13))</f>
        <v/>
      </c>
      <c r="G13" s="19" t="str">
        <f aca="false">IF($A13="","",IFERROR(IF(INDEX(tblOrtak[Tarih],ROW($A13)-ROW(tblOrtak[[#Headers],[Tarih]])+1)=0,RaporTarihi,INDEX(tblOrtak[Tarih],ROW($A13)-ROW(tblOrtak[[#Headers],[Tarih]])+1))-$A13,RaporTarihi-$A13))</f>
        <v/>
      </c>
      <c r="H13" s="18" t="n">
        <f aca="false">IF($F13="",0,ROUND($F13*$G13,0))</f>
        <v>0</v>
      </c>
      <c r="I13" s="18" t="n">
        <f aca="false">IF($H13="",0,ROUND($H13*AdatFaizOran/AdatYilGunSayisi,2))</f>
        <v>0</v>
      </c>
      <c r="J13" s="22"/>
    </row>
    <row r="14" customFormat="false" ht="15" hidden="false" customHeight="false" outlineLevel="0" collapsed="false">
      <c r="A14" s="21"/>
      <c r="B14" s="22"/>
      <c r="C14" s="22"/>
      <c r="D14" s="23"/>
      <c r="E14" s="20" t="str">
        <f aca="false">IF($A14="","",IF($C14="Borç",-$D14,$D14))</f>
        <v/>
      </c>
      <c r="F14" s="18" t="str">
        <f aca="false">IF($A14="","",IFERROR(IF(INDEX(tblOrtak[Ortak Adı],ROW($A14)-ROW(tblOrtak[[#Headers],[Tarih]])-1)=$B14,INDEX(tblOrtak[Bakiye (₺)],ROW($A14)-ROW(tblOrtak[[#Headers],[Tarih]])-1)+$E14,$E14),$E14))</f>
        <v/>
      </c>
      <c r="G14" s="19" t="str">
        <f aca="false">IF($A14="","",IFERROR(IF(INDEX(tblOrtak[Tarih],ROW($A14)-ROW(tblOrtak[[#Headers],[Tarih]])+1)=0,RaporTarihi,INDEX(tblOrtak[Tarih],ROW($A14)-ROW(tblOrtak[[#Headers],[Tarih]])+1))-$A14,RaporTarihi-$A14))</f>
        <v/>
      </c>
      <c r="H14" s="18" t="n">
        <f aca="false">IF($F14="",0,ROUND($F14*$G14,0))</f>
        <v>0</v>
      </c>
      <c r="I14" s="18" t="n">
        <f aca="false">IF($H14="",0,ROUND($H14*AdatFaizOran/AdatYilGunSayisi,2))</f>
        <v>0</v>
      </c>
      <c r="J14" s="22"/>
    </row>
    <row r="15" customFormat="false" ht="15" hidden="false" customHeight="false" outlineLevel="0" collapsed="false">
      <c r="A15" s="21"/>
      <c r="B15" s="22"/>
      <c r="C15" s="22"/>
      <c r="D15" s="23"/>
      <c r="E15" s="20" t="str">
        <f aca="false">IF($A15="","",IF($C15="Borç",-$D15,$D15))</f>
        <v/>
      </c>
      <c r="F15" s="18" t="str">
        <f aca="false">IF($A15="","",IFERROR(IF(INDEX(tblOrtak[Ortak Adı],ROW($A15)-ROW(tblOrtak[[#Headers],[Tarih]])-1)=$B15,INDEX(tblOrtak[Bakiye (₺)],ROW($A15)-ROW(tblOrtak[[#Headers],[Tarih]])-1)+$E15,$E15),$E15))</f>
        <v/>
      </c>
      <c r="G15" s="19" t="str">
        <f aca="false">IF($A15="","",IFERROR(IF(INDEX(tblOrtak[Tarih],ROW($A15)-ROW(tblOrtak[[#Headers],[Tarih]])+1)=0,RaporTarihi,INDEX(tblOrtak[Tarih],ROW($A15)-ROW(tblOrtak[[#Headers],[Tarih]])+1))-$A15,RaporTarihi-$A15))</f>
        <v/>
      </c>
      <c r="H15" s="18" t="n">
        <f aca="false">IF($F15="",0,ROUND($F15*$G15,0))</f>
        <v>0</v>
      </c>
      <c r="I15" s="18" t="n">
        <f aca="false">IF($H15="",0,ROUND($H15*AdatFaizOran/AdatYilGunSayisi,2))</f>
        <v>0</v>
      </c>
      <c r="J15" s="22"/>
    </row>
    <row r="16" customFormat="false" ht="15" hidden="false" customHeight="false" outlineLevel="0" collapsed="false">
      <c r="A16" s="21"/>
      <c r="B16" s="22"/>
      <c r="C16" s="22"/>
      <c r="D16" s="23"/>
      <c r="E16" s="20" t="str">
        <f aca="false">IF($A16="","",IF($C16="Borç",-$D16,$D16))</f>
        <v/>
      </c>
      <c r="F16" s="18" t="str">
        <f aca="false">IF($A16="","",IFERROR(IF(INDEX(tblOrtak[Ortak Adı],ROW($A16)-ROW(tblOrtak[[#Headers],[Tarih]])-1)=$B16,INDEX(tblOrtak[Bakiye (₺)],ROW($A16)-ROW(tblOrtak[[#Headers],[Tarih]])-1)+$E16,$E16),$E16))</f>
        <v/>
      </c>
      <c r="G16" s="19" t="str">
        <f aca="false">IF($A16="","",IFERROR(IF(INDEX(tblOrtak[Tarih],ROW($A16)-ROW(tblOrtak[[#Headers],[Tarih]])+1)=0,RaporTarihi,INDEX(tblOrtak[Tarih],ROW($A16)-ROW(tblOrtak[[#Headers],[Tarih]])+1))-$A16,RaporTarihi-$A16))</f>
        <v/>
      </c>
      <c r="H16" s="18" t="n">
        <f aca="false">IF($F16="",0,ROUND($F16*$G16,0))</f>
        <v>0</v>
      </c>
      <c r="I16" s="18" t="n">
        <f aca="false">IF($H16="",0,ROUND($H16*AdatFaizOran/AdatYilGunSayisi,2))</f>
        <v>0</v>
      </c>
      <c r="J16" s="22"/>
    </row>
    <row r="17" customFormat="false" ht="15" hidden="false" customHeight="false" outlineLevel="0" collapsed="false">
      <c r="A17" s="21"/>
      <c r="B17" s="22"/>
      <c r="C17" s="22"/>
      <c r="D17" s="23"/>
      <c r="E17" s="20" t="str">
        <f aca="false">IF($A17="","",IF($C17="Borç",-$D17,$D17))</f>
        <v/>
      </c>
      <c r="F17" s="18" t="str">
        <f aca="false">IF($A17="","",IFERROR(IF(INDEX(tblOrtak[Ortak Adı],ROW($A17)-ROW(tblOrtak[[#Headers],[Tarih]])-1)=$B17,INDEX(tblOrtak[Bakiye (₺)],ROW($A17)-ROW(tblOrtak[[#Headers],[Tarih]])-1)+$E17,$E17),$E17))</f>
        <v/>
      </c>
      <c r="G17" s="19" t="str">
        <f aca="false">IF($A17="","",IFERROR(IF(INDEX(tblOrtak[Tarih],ROW($A17)-ROW(tblOrtak[[#Headers],[Tarih]])+1)=0,RaporTarihi,INDEX(tblOrtak[Tarih],ROW($A17)-ROW(tblOrtak[[#Headers],[Tarih]])+1))-$A17,RaporTarihi-$A17))</f>
        <v/>
      </c>
      <c r="H17" s="18" t="n">
        <f aca="false">IF($F17="",0,ROUND($F17*$G17,0))</f>
        <v>0</v>
      </c>
      <c r="I17" s="18" t="n">
        <f aca="false">IF($H17="",0,ROUND($H17*AdatFaizOran/AdatYilGunSayisi,2))</f>
        <v>0</v>
      </c>
      <c r="J17" s="22"/>
    </row>
    <row r="18" customFormat="false" ht="15" hidden="false" customHeight="false" outlineLevel="0" collapsed="false">
      <c r="A18" s="21"/>
      <c r="B18" s="22"/>
      <c r="C18" s="22"/>
      <c r="D18" s="23"/>
      <c r="E18" s="20" t="str">
        <f aca="false">IF($A18="","",IF($C18="Borç",-$D18,$D18))</f>
        <v/>
      </c>
      <c r="F18" s="18" t="str">
        <f aca="false">IF($A18="","",IFERROR(IF(INDEX(tblOrtak[Ortak Adı],ROW($A18)-ROW(tblOrtak[[#Headers],[Tarih]])-1)=$B18,INDEX(tblOrtak[Bakiye (₺)],ROW($A18)-ROW(tblOrtak[[#Headers],[Tarih]])-1)+$E18,$E18),$E18))</f>
        <v/>
      </c>
      <c r="G18" s="19" t="str">
        <f aca="false">IF($A18="","",IFERROR(IF(INDEX(tblOrtak[Tarih],ROW($A18)-ROW(tblOrtak[[#Headers],[Tarih]])+1)=0,RaporTarihi,INDEX(tblOrtak[Tarih],ROW($A18)-ROW(tblOrtak[[#Headers],[Tarih]])+1))-$A18,RaporTarihi-$A18))</f>
        <v/>
      </c>
      <c r="H18" s="18" t="n">
        <f aca="false">IF($F18="",0,ROUND($F18*$G18,0))</f>
        <v>0</v>
      </c>
      <c r="I18" s="18" t="n">
        <f aca="false">IF($H18="",0,ROUND($H18*AdatFaizOran/AdatYilGunSayisi,2))</f>
        <v>0</v>
      </c>
      <c r="J18" s="22"/>
    </row>
    <row r="19" customFormat="false" ht="15" hidden="false" customHeight="false" outlineLevel="0" collapsed="false">
      <c r="A19" s="21"/>
      <c r="B19" s="22"/>
      <c r="C19" s="22"/>
      <c r="D19" s="23"/>
      <c r="E19" s="20" t="str">
        <f aca="false">IF($A19="","",IF($C19="Borç",-$D19,$D19))</f>
        <v/>
      </c>
      <c r="F19" s="18" t="str">
        <f aca="false">IF($A19="","",IFERROR(IF(INDEX(tblOrtak[Ortak Adı],ROW($A19)-ROW(tblOrtak[[#Headers],[Tarih]])-1)=$B19,INDEX(tblOrtak[Bakiye (₺)],ROW($A19)-ROW(tblOrtak[[#Headers],[Tarih]])-1)+$E19,$E19),$E19))</f>
        <v/>
      </c>
      <c r="G19" s="19" t="str">
        <f aca="false">IF($A19="","",IFERROR(IF(INDEX(tblOrtak[Tarih],ROW($A19)-ROW(tblOrtak[[#Headers],[Tarih]])+1)=0,RaporTarihi,INDEX(tblOrtak[Tarih],ROW($A19)-ROW(tblOrtak[[#Headers],[Tarih]])+1))-$A19,RaporTarihi-$A19))</f>
        <v/>
      </c>
      <c r="H19" s="18" t="n">
        <f aca="false">IF($F19="",0,ROUND($F19*$G19,0))</f>
        <v>0</v>
      </c>
      <c r="I19" s="18" t="n">
        <f aca="false">IF($H19="",0,ROUND($H19*AdatFaizOran/AdatYilGunSayisi,2))</f>
        <v>0</v>
      </c>
      <c r="J19" s="22"/>
    </row>
    <row r="20" customFormat="false" ht="15" hidden="false" customHeight="false" outlineLevel="0" collapsed="false">
      <c r="A20" s="21"/>
      <c r="B20" s="22"/>
      <c r="C20" s="22"/>
      <c r="D20" s="23"/>
      <c r="E20" s="20" t="str">
        <f aca="false">IF($A20="","",IF($C20="Borç",-$D20,$D20))</f>
        <v/>
      </c>
      <c r="F20" s="18" t="str">
        <f aca="false">IF($A20="","",IFERROR(IF(INDEX(tblOrtak[Ortak Adı],ROW($A20)-ROW(tblOrtak[[#Headers],[Tarih]])-1)=$B20,INDEX(tblOrtak[Bakiye (₺)],ROW($A20)-ROW(tblOrtak[[#Headers],[Tarih]])-1)+$E20,$E20),$E20))</f>
        <v/>
      </c>
      <c r="G20" s="19" t="str">
        <f aca="false">IF($A20="","",IFERROR(IF(INDEX(tblOrtak[Tarih],ROW($A20)-ROW(tblOrtak[[#Headers],[Tarih]])+1)=0,RaporTarihi,INDEX(tblOrtak[Tarih],ROW($A20)-ROW(tblOrtak[[#Headers],[Tarih]])+1))-$A20,RaporTarihi-$A20))</f>
        <v/>
      </c>
      <c r="H20" s="18" t="n">
        <f aca="false">IF($F20="",0,ROUND($F20*$G20,0))</f>
        <v>0</v>
      </c>
      <c r="I20" s="18" t="n">
        <f aca="false">IF($H20="",0,ROUND($H20*AdatFaizOran/AdatYilGunSayisi,2))</f>
        <v>0</v>
      </c>
      <c r="J20" s="22"/>
    </row>
    <row r="21" customFormat="false" ht="15" hidden="false" customHeight="false" outlineLevel="0" collapsed="false">
      <c r="A21" s="21"/>
      <c r="B21" s="22"/>
      <c r="C21" s="22"/>
      <c r="D21" s="23"/>
      <c r="E21" s="20" t="str">
        <f aca="false">IF($A21="","",IF($C21="Borç",-$D21,$D21))</f>
        <v/>
      </c>
      <c r="F21" s="18" t="str">
        <f aca="false">IF($A21="","",IFERROR(IF(INDEX(tblOrtak[Ortak Adı],ROW($A21)-ROW(tblOrtak[[#Headers],[Tarih]])-1)=$B21,INDEX(tblOrtak[Bakiye (₺)],ROW($A21)-ROW(tblOrtak[[#Headers],[Tarih]])-1)+$E21,$E21),$E21))</f>
        <v/>
      </c>
      <c r="G21" s="19" t="str">
        <f aca="false">IF($A21="","",IFERROR(IF(INDEX(tblOrtak[Tarih],ROW($A21)-ROW(tblOrtak[[#Headers],[Tarih]])+1)=0,RaporTarihi,INDEX(tblOrtak[Tarih],ROW($A21)-ROW(tblOrtak[[#Headers],[Tarih]])+1))-$A21,RaporTarihi-$A21))</f>
        <v/>
      </c>
      <c r="H21" s="18" t="n">
        <f aca="false">IF($F21="",0,ROUND($F21*$G21,0))</f>
        <v>0</v>
      </c>
      <c r="I21" s="18" t="n">
        <f aca="false">IF($H21="",0,ROUND($H21*AdatFaizOran/AdatYilGunSayisi,2))</f>
        <v>0</v>
      </c>
      <c r="J21" s="22"/>
    </row>
    <row r="22" customFormat="false" ht="15" hidden="false" customHeight="false" outlineLevel="0" collapsed="false">
      <c r="A22" s="21"/>
      <c r="B22" s="22"/>
      <c r="C22" s="22"/>
      <c r="D22" s="23"/>
      <c r="E22" s="20" t="str">
        <f aca="false">IF($A22="","",IF($C22="Borç",-$D22,$D22))</f>
        <v/>
      </c>
      <c r="F22" s="18" t="str">
        <f aca="false">IF($A22="","",IFERROR(IF(INDEX(tblOrtak[Ortak Adı],ROW($A22)-ROW(tblOrtak[[#Headers],[Tarih]])-1)=$B22,INDEX(tblOrtak[Bakiye (₺)],ROW($A22)-ROW(tblOrtak[[#Headers],[Tarih]])-1)+$E22,$E22),$E22))</f>
        <v/>
      </c>
      <c r="G22" s="19" t="str">
        <f aca="false">IF($A22="","",IFERROR(IF(INDEX(tblOrtak[Tarih],ROW($A22)-ROW(tblOrtak[[#Headers],[Tarih]])+1)=0,RaporTarihi,INDEX(tblOrtak[Tarih],ROW($A22)-ROW(tblOrtak[[#Headers],[Tarih]])+1))-$A22,RaporTarihi-$A22))</f>
        <v/>
      </c>
      <c r="H22" s="18" t="n">
        <f aca="false">IF($F22="",0,ROUND($F22*$G22,0))</f>
        <v>0</v>
      </c>
      <c r="I22" s="18" t="n">
        <f aca="false">IF($H22="",0,ROUND($H22*AdatFaizOran/AdatYilGunSayisi,2))</f>
        <v>0</v>
      </c>
      <c r="J22" s="22"/>
    </row>
    <row r="23" customFormat="false" ht="15" hidden="false" customHeight="false" outlineLevel="0" collapsed="false">
      <c r="A23" s="21"/>
      <c r="B23" s="22"/>
      <c r="C23" s="22"/>
      <c r="D23" s="23"/>
      <c r="E23" s="20" t="str">
        <f aca="false">IF($A23="","",IF($C23="Borç",-$D23,$D23))</f>
        <v/>
      </c>
      <c r="F23" s="18" t="str">
        <f aca="false">IF($A23="","",IFERROR(IF(INDEX(tblOrtak[Ortak Adı],ROW($A23)-ROW(tblOrtak[[#Headers],[Tarih]])-1)=$B23,INDEX(tblOrtak[Bakiye (₺)],ROW($A23)-ROW(tblOrtak[[#Headers],[Tarih]])-1)+$E23,$E23),$E23))</f>
        <v/>
      </c>
      <c r="G23" s="19" t="str">
        <f aca="false">IF($A23="","",IFERROR(IF(INDEX(tblOrtak[Tarih],ROW($A23)-ROW(tblOrtak[[#Headers],[Tarih]])+1)=0,RaporTarihi,INDEX(tblOrtak[Tarih],ROW($A23)-ROW(tblOrtak[[#Headers],[Tarih]])+1))-$A23,RaporTarihi-$A23))</f>
        <v/>
      </c>
      <c r="H23" s="18" t="n">
        <f aca="false">IF($F23="",0,ROUND($F23*$G23,0))</f>
        <v>0</v>
      </c>
      <c r="I23" s="18" t="n">
        <f aca="false">IF($H23="",0,ROUND($H23*AdatFaizOran/AdatYilGunSayisi,2))</f>
        <v>0</v>
      </c>
      <c r="J23" s="22"/>
    </row>
    <row r="24" customFormat="false" ht="15" hidden="false" customHeight="false" outlineLevel="0" collapsed="false">
      <c r="A24" s="21"/>
      <c r="B24" s="22"/>
      <c r="C24" s="22"/>
      <c r="D24" s="23"/>
      <c r="E24" s="20" t="str">
        <f aca="false">IF($A24="","",IF($C24="Borç",-$D24,$D24))</f>
        <v/>
      </c>
      <c r="F24" s="18" t="str">
        <f aca="false">IF($A24="","",IFERROR(IF(INDEX(tblOrtak[Ortak Adı],ROW($A24)-ROW(tblOrtak[[#Headers],[Tarih]])-1)=$B24,INDEX(tblOrtak[Bakiye (₺)],ROW($A24)-ROW(tblOrtak[[#Headers],[Tarih]])-1)+$E24,$E24),$E24))</f>
        <v/>
      </c>
      <c r="G24" s="19" t="str">
        <f aca="false">IF($A24="","",IFERROR(IF(INDEX(tblOrtak[Tarih],ROW($A24)-ROW(tblOrtak[[#Headers],[Tarih]])+1)=0,RaporTarihi,INDEX(tblOrtak[Tarih],ROW($A24)-ROW(tblOrtak[[#Headers],[Tarih]])+1))-$A24,RaporTarihi-$A24))</f>
        <v/>
      </c>
      <c r="H24" s="18" t="n">
        <f aca="false">IF($F24="",0,ROUND($F24*$G24,0))</f>
        <v>0</v>
      </c>
      <c r="I24" s="18" t="n">
        <f aca="false">IF($H24="",0,ROUND($H24*AdatFaizOran/AdatYilGunSayisi,2))</f>
        <v>0</v>
      </c>
      <c r="J24" s="22"/>
    </row>
    <row r="25" customFormat="false" ht="15" hidden="false" customHeight="false" outlineLevel="0" collapsed="false">
      <c r="A25" s="21"/>
      <c r="B25" s="22"/>
      <c r="C25" s="22"/>
      <c r="D25" s="23"/>
      <c r="E25" s="20" t="str">
        <f aca="false">IF($A25="","",IF($C25="Borç",-$D25,$D25))</f>
        <v/>
      </c>
      <c r="F25" s="18" t="str">
        <f aca="false">IF($A25="","",IFERROR(IF(INDEX(tblOrtak[Ortak Adı],ROW($A25)-ROW(tblOrtak[[#Headers],[Tarih]])-1)=$B25,INDEX(tblOrtak[Bakiye (₺)],ROW($A25)-ROW(tblOrtak[[#Headers],[Tarih]])-1)+$E25,$E25),$E25))</f>
        <v/>
      </c>
      <c r="G25" s="19" t="str">
        <f aca="false">IF($A25="","",IFERROR(IF(INDEX(tblOrtak[Tarih],ROW($A25)-ROW(tblOrtak[[#Headers],[Tarih]])+1)=0,RaporTarihi,INDEX(tblOrtak[Tarih],ROW($A25)-ROW(tblOrtak[[#Headers],[Tarih]])+1))-$A25,RaporTarihi-$A25))</f>
        <v/>
      </c>
      <c r="H25" s="18" t="n">
        <f aca="false">IF($F25="",0,ROUND($F25*$G25,0))</f>
        <v>0</v>
      </c>
      <c r="I25" s="18" t="n">
        <f aca="false">IF($H25="",0,ROUND($H25*AdatFaizOran/AdatYilGunSayisi,2))</f>
        <v>0</v>
      </c>
      <c r="J25" s="22"/>
    </row>
    <row r="26" customFormat="false" ht="15" hidden="false" customHeight="false" outlineLevel="0" collapsed="false">
      <c r="A26" s="21"/>
      <c r="B26" s="22"/>
      <c r="C26" s="22"/>
      <c r="D26" s="23"/>
      <c r="E26" s="20" t="str">
        <f aca="false">IF($A26="","",IF($C26="Borç",-$D26,$D26))</f>
        <v/>
      </c>
      <c r="F26" s="18" t="str">
        <f aca="false">IF($A26="","",IFERROR(IF(INDEX(tblOrtak[Ortak Adı],ROW($A26)-ROW(tblOrtak[[#Headers],[Tarih]])-1)=$B26,INDEX(tblOrtak[Bakiye (₺)],ROW($A26)-ROW(tblOrtak[[#Headers],[Tarih]])-1)+$E26,$E26),$E26))</f>
        <v/>
      </c>
      <c r="G26" s="19" t="str">
        <f aca="false">IF($A26="","",IFERROR(IF(INDEX(tblOrtak[Tarih],ROW($A26)-ROW(tblOrtak[[#Headers],[Tarih]])+1)=0,RaporTarihi,INDEX(tblOrtak[Tarih],ROW($A26)-ROW(tblOrtak[[#Headers],[Tarih]])+1))-$A26,RaporTarihi-$A26))</f>
        <v/>
      </c>
      <c r="H26" s="18" t="n">
        <f aca="false">IF($F26="",0,ROUND($F26*$G26,0))</f>
        <v>0</v>
      </c>
      <c r="I26" s="18" t="n">
        <f aca="false">IF($H26="",0,ROUND($H26*AdatFaizOran/AdatYilGunSayisi,2))</f>
        <v>0</v>
      </c>
      <c r="J26" s="22"/>
    </row>
    <row r="27" customFormat="false" ht="15" hidden="false" customHeight="false" outlineLevel="0" collapsed="false">
      <c r="A27" s="21"/>
      <c r="B27" s="22"/>
      <c r="C27" s="22"/>
      <c r="D27" s="23"/>
      <c r="E27" s="20" t="str">
        <f aca="false">IF($A27="","",IF($C27="Borç",-$D27,$D27))</f>
        <v/>
      </c>
      <c r="F27" s="18" t="str">
        <f aca="false">IF($A27="","",IFERROR(IF(INDEX(tblOrtak[Ortak Adı],ROW($A27)-ROW(tblOrtak[[#Headers],[Tarih]])-1)=$B27,INDEX(tblOrtak[Bakiye (₺)],ROW($A27)-ROW(tblOrtak[[#Headers],[Tarih]])-1)+$E27,$E27),$E27))</f>
        <v/>
      </c>
      <c r="G27" s="19" t="str">
        <f aca="false">IF($A27="","",IFERROR(IF(INDEX(tblOrtak[Tarih],ROW($A27)-ROW(tblOrtak[[#Headers],[Tarih]])+1)=0,RaporTarihi,INDEX(tblOrtak[Tarih],ROW($A27)-ROW(tblOrtak[[#Headers],[Tarih]])+1))-$A27,RaporTarihi-$A27))</f>
        <v/>
      </c>
      <c r="H27" s="18" t="n">
        <f aca="false">IF($F27="",0,ROUND($F27*$G27,0))</f>
        <v>0</v>
      </c>
      <c r="I27" s="18" t="n">
        <f aca="false">IF($H27="",0,ROUND($H27*AdatFaizOran/AdatYilGunSayisi,2))</f>
        <v>0</v>
      </c>
      <c r="J27" s="22"/>
    </row>
    <row r="28" customFormat="false" ht="15" hidden="false" customHeight="false" outlineLevel="0" collapsed="false">
      <c r="A28" s="21"/>
      <c r="B28" s="22"/>
      <c r="C28" s="22"/>
      <c r="D28" s="23"/>
      <c r="E28" s="20" t="str">
        <f aca="false">IF($A28="","",IF($C28="Borç",-$D28,$D28))</f>
        <v/>
      </c>
      <c r="F28" s="18" t="str">
        <f aca="false">IF($A28="","",IFERROR(IF(INDEX(tblOrtak[Ortak Adı],ROW($A28)-ROW(tblOrtak[[#Headers],[Tarih]])-1)=$B28,INDEX(tblOrtak[Bakiye (₺)],ROW($A28)-ROW(tblOrtak[[#Headers],[Tarih]])-1)+$E28,$E28),$E28))</f>
        <v/>
      </c>
      <c r="G28" s="19" t="str">
        <f aca="false">IF($A28="","",IFERROR(IF(INDEX(tblOrtak[Tarih],ROW($A28)-ROW(tblOrtak[[#Headers],[Tarih]])+1)=0,RaporTarihi,INDEX(tblOrtak[Tarih],ROW($A28)-ROW(tblOrtak[[#Headers],[Tarih]])+1))-$A28,RaporTarihi-$A28))</f>
        <v/>
      </c>
      <c r="H28" s="18" t="n">
        <f aca="false">IF($F28="",0,ROUND($F28*$G28,0))</f>
        <v>0</v>
      </c>
      <c r="I28" s="18" t="n">
        <f aca="false">IF($H28="",0,ROUND($H28*AdatFaizOran/AdatYilGunSayisi,2))</f>
        <v>0</v>
      </c>
      <c r="J28" s="22"/>
    </row>
    <row r="29" customFormat="false" ht="15" hidden="false" customHeight="false" outlineLevel="0" collapsed="false">
      <c r="A29" s="21"/>
      <c r="B29" s="22"/>
      <c r="C29" s="22"/>
      <c r="D29" s="23"/>
      <c r="E29" s="20" t="str">
        <f aca="false">IF($A29="","",IF($C29="Borç",-$D29,$D29))</f>
        <v/>
      </c>
      <c r="F29" s="18" t="str">
        <f aca="false">IF($A29="","",IFERROR(IF(INDEX(tblOrtak[Ortak Adı],ROW($A29)-ROW(tblOrtak[[#Headers],[Tarih]])-1)=$B29,INDEX(tblOrtak[Bakiye (₺)],ROW($A29)-ROW(tblOrtak[[#Headers],[Tarih]])-1)+$E29,$E29),$E29))</f>
        <v/>
      </c>
      <c r="G29" s="19" t="str">
        <f aca="false">IF($A29="","",IFERROR(IF(INDEX(tblOrtak[Tarih],ROW($A29)-ROW(tblOrtak[[#Headers],[Tarih]])+1)=0,RaporTarihi,INDEX(tblOrtak[Tarih],ROW($A29)-ROW(tblOrtak[[#Headers],[Tarih]])+1))-$A29,RaporTarihi-$A29))</f>
        <v/>
      </c>
      <c r="H29" s="18" t="n">
        <f aca="false">IF($F29="",0,ROUND($F29*$G29,0))</f>
        <v>0</v>
      </c>
      <c r="I29" s="18" t="n">
        <f aca="false">IF($H29="",0,ROUND($H29*AdatFaizOran/AdatYilGunSayisi,2))</f>
        <v>0</v>
      </c>
      <c r="J29" s="22"/>
    </row>
    <row r="30" customFormat="false" ht="15" hidden="false" customHeight="false" outlineLevel="0" collapsed="false">
      <c r="A30" s="21"/>
      <c r="B30" s="22"/>
      <c r="C30" s="22"/>
      <c r="D30" s="23"/>
      <c r="E30" s="20" t="str">
        <f aca="false">IF($A30="","",IF($C30="Borç",-$D30,$D30))</f>
        <v/>
      </c>
      <c r="F30" s="18" t="str">
        <f aca="false">IF($A30="","",IFERROR(IF(INDEX(tblOrtak[Ortak Adı],ROW($A30)-ROW(tblOrtak[[#Headers],[Tarih]])-1)=$B30,INDEX(tblOrtak[Bakiye (₺)],ROW($A30)-ROW(tblOrtak[[#Headers],[Tarih]])-1)+$E30,$E30),$E30))</f>
        <v/>
      </c>
      <c r="G30" s="19" t="str">
        <f aca="false">IF($A30="","",IFERROR(IF(INDEX(tblOrtak[Tarih],ROW($A30)-ROW(tblOrtak[[#Headers],[Tarih]])+1)=0,RaporTarihi,INDEX(tblOrtak[Tarih],ROW($A30)-ROW(tblOrtak[[#Headers],[Tarih]])+1))-$A30,RaporTarihi-$A30))</f>
        <v/>
      </c>
      <c r="H30" s="18" t="n">
        <f aca="false">IF($F30="",0,ROUND($F30*$G30,0))</f>
        <v>0</v>
      </c>
      <c r="I30" s="18" t="n">
        <f aca="false">IF($H30="",0,ROUND($H30*AdatFaizOran/AdatYilGunSayisi,2))</f>
        <v>0</v>
      </c>
      <c r="J30" s="22"/>
    </row>
    <row r="31" customFormat="false" ht="15" hidden="false" customHeight="false" outlineLevel="0" collapsed="false">
      <c r="A31" s="21"/>
      <c r="B31" s="22"/>
      <c r="C31" s="22"/>
      <c r="D31" s="23"/>
      <c r="E31" s="20" t="str">
        <f aca="false">IF($A31="","",IF($C31="Borç",-$D31,$D31))</f>
        <v/>
      </c>
      <c r="F31" s="18" t="str">
        <f aca="false">IF($A31="","",IFERROR(IF(INDEX(tblOrtak[Ortak Adı],ROW($A31)-ROW(tblOrtak[[#Headers],[Tarih]])-1)=$B31,INDEX(tblOrtak[Bakiye (₺)],ROW($A31)-ROW(tblOrtak[[#Headers],[Tarih]])-1)+$E31,$E31),$E31))</f>
        <v/>
      </c>
      <c r="G31" s="19" t="str">
        <f aca="false">IF($A31="","",IFERROR(IF(INDEX(tblOrtak[Tarih],ROW($A31)-ROW(tblOrtak[[#Headers],[Tarih]])+1)=0,RaporTarihi,INDEX(tblOrtak[Tarih],ROW($A31)-ROW(tblOrtak[[#Headers],[Tarih]])+1))-$A31,RaporTarihi-$A31))</f>
        <v/>
      </c>
      <c r="H31" s="18" t="n">
        <f aca="false">IF($F31="",0,ROUND($F31*$G31,0))</f>
        <v>0</v>
      </c>
      <c r="I31" s="18" t="n">
        <f aca="false">IF($H31="",0,ROUND($H31*AdatFaizOran/AdatYilGunSayisi,2))</f>
        <v>0</v>
      </c>
      <c r="J31" s="22"/>
    </row>
    <row r="32" customFormat="false" ht="15" hidden="false" customHeight="false" outlineLevel="0" collapsed="false">
      <c r="A32" s="21"/>
      <c r="B32" s="22"/>
      <c r="C32" s="22"/>
      <c r="D32" s="23"/>
      <c r="E32" s="20" t="str">
        <f aca="false">IF($A32="","",IF($C32="Borç",-$D32,$D32))</f>
        <v/>
      </c>
      <c r="F32" s="18" t="str">
        <f aca="false">IF($A32="","",IFERROR(IF(INDEX(tblOrtak[Ortak Adı],ROW($A32)-ROW(tblOrtak[[#Headers],[Tarih]])-1)=$B32,INDEX(tblOrtak[Bakiye (₺)],ROW($A32)-ROW(tblOrtak[[#Headers],[Tarih]])-1)+$E32,$E32),$E32))</f>
        <v/>
      </c>
      <c r="G32" s="19" t="str">
        <f aca="false">IF($A32="","",IFERROR(IF(INDEX(tblOrtak[Tarih],ROW($A32)-ROW(tblOrtak[[#Headers],[Tarih]])+1)=0,RaporTarihi,INDEX(tblOrtak[Tarih],ROW($A32)-ROW(tblOrtak[[#Headers],[Tarih]])+1))-$A32,RaporTarihi-$A32))</f>
        <v/>
      </c>
      <c r="H32" s="18" t="n">
        <f aca="false">IF($F32="",0,ROUND($F32*$G32,0))</f>
        <v>0</v>
      </c>
      <c r="I32" s="18" t="n">
        <f aca="false">IF($H32="",0,ROUND($H32*AdatFaizOran/AdatYilGunSayisi,2))</f>
        <v>0</v>
      </c>
      <c r="J32" s="22"/>
    </row>
    <row r="33" customFormat="false" ht="15" hidden="false" customHeight="false" outlineLevel="0" collapsed="false">
      <c r="A33" s="21"/>
      <c r="B33" s="22"/>
      <c r="C33" s="22"/>
      <c r="D33" s="23"/>
      <c r="E33" s="20" t="str">
        <f aca="false">IF($A33="","",IF($C33="Borç",-$D33,$D33))</f>
        <v/>
      </c>
      <c r="F33" s="18" t="str">
        <f aca="false">IF($A33="","",IFERROR(IF(INDEX(tblOrtak[Ortak Adı],ROW($A33)-ROW(tblOrtak[[#Headers],[Tarih]])-1)=$B33,INDEX(tblOrtak[Bakiye (₺)],ROW($A33)-ROW(tblOrtak[[#Headers],[Tarih]])-1)+$E33,$E33),$E33))</f>
        <v/>
      </c>
      <c r="G33" s="19" t="str">
        <f aca="false">IF($A33="","",IFERROR(IF(INDEX(tblOrtak[Tarih],ROW($A33)-ROW(tblOrtak[[#Headers],[Tarih]])+1)=0,RaporTarihi,INDEX(tblOrtak[Tarih],ROW($A33)-ROW(tblOrtak[[#Headers],[Tarih]])+1))-$A33,RaporTarihi-$A33))</f>
        <v/>
      </c>
      <c r="H33" s="18" t="n">
        <f aca="false">IF($F33="",0,ROUND($F33*$G33,0))</f>
        <v>0</v>
      </c>
      <c r="I33" s="18" t="n">
        <f aca="false">IF($H33="",0,ROUND($H33*AdatFaizOran/AdatYilGunSayisi,2))</f>
        <v>0</v>
      </c>
      <c r="J33" s="22"/>
    </row>
    <row r="34" customFormat="false" ht="15" hidden="false" customHeight="false" outlineLevel="0" collapsed="false">
      <c r="A34" s="21"/>
      <c r="B34" s="22"/>
      <c r="C34" s="22"/>
      <c r="D34" s="23"/>
      <c r="E34" s="20" t="str">
        <f aca="false">IF($A34="","",IF($C34="Borç",-$D34,$D34))</f>
        <v/>
      </c>
      <c r="F34" s="18" t="str">
        <f aca="false">IF($A34="","",IFERROR(IF(INDEX(tblOrtak[Ortak Adı],ROW($A34)-ROW(tblOrtak[[#Headers],[Tarih]])-1)=$B34,INDEX(tblOrtak[Bakiye (₺)],ROW($A34)-ROW(tblOrtak[[#Headers],[Tarih]])-1)+$E34,$E34),$E34))</f>
        <v/>
      </c>
      <c r="G34" s="19" t="str">
        <f aca="false">IF($A34="","",IFERROR(IF(INDEX(tblOrtak[Tarih],ROW($A34)-ROW(tblOrtak[[#Headers],[Tarih]])+1)=0,RaporTarihi,INDEX(tblOrtak[Tarih],ROW($A34)-ROW(tblOrtak[[#Headers],[Tarih]])+1))-$A34,RaporTarihi-$A34))</f>
        <v/>
      </c>
      <c r="H34" s="18" t="n">
        <f aca="false">IF($F34="",0,ROUND($F34*$G34,0))</f>
        <v>0</v>
      </c>
      <c r="I34" s="18" t="n">
        <f aca="false">IF($H34="",0,ROUND($H34*AdatFaizOran/AdatYilGunSayisi,2))</f>
        <v>0</v>
      </c>
      <c r="J34" s="22"/>
    </row>
    <row r="35" customFormat="false" ht="15" hidden="false" customHeight="false" outlineLevel="0" collapsed="false">
      <c r="A35" s="21"/>
      <c r="B35" s="22"/>
      <c r="C35" s="22"/>
      <c r="D35" s="23"/>
      <c r="E35" s="20" t="str">
        <f aca="false">IF($A35="","",IF($C35="Borç",-$D35,$D35))</f>
        <v/>
      </c>
      <c r="F35" s="18" t="str">
        <f aca="false">IF($A35="","",IFERROR(IF(INDEX(tblOrtak[Ortak Adı],ROW($A35)-ROW(tblOrtak[[#Headers],[Tarih]])-1)=$B35,INDEX(tblOrtak[Bakiye (₺)],ROW($A35)-ROW(tblOrtak[[#Headers],[Tarih]])-1)+$E35,$E35),$E35))</f>
        <v/>
      </c>
      <c r="G35" s="19" t="str">
        <f aca="false">IF($A35="","",IFERROR(IF(INDEX(tblOrtak[Tarih],ROW($A35)-ROW(tblOrtak[[#Headers],[Tarih]])+1)=0,RaporTarihi,INDEX(tblOrtak[Tarih],ROW($A35)-ROW(tblOrtak[[#Headers],[Tarih]])+1))-$A35,RaporTarihi-$A35))</f>
        <v/>
      </c>
      <c r="H35" s="18" t="n">
        <f aca="false">IF($F35="",0,ROUND($F35*$G35,0))</f>
        <v>0</v>
      </c>
      <c r="I35" s="18" t="n">
        <f aca="false">IF($H35="",0,ROUND($H35*AdatFaizOran/AdatYilGunSayisi,2))</f>
        <v>0</v>
      </c>
      <c r="J35" s="22"/>
    </row>
    <row r="36" customFormat="false" ht="15" hidden="false" customHeight="false" outlineLevel="0" collapsed="false">
      <c r="A36" s="21"/>
      <c r="B36" s="22"/>
      <c r="C36" s="22"/>
      <c r="D36" s="23"/>
      <c r="E36" s="20" t="str">
        <f aca="false">IF($A36="","",IF($C36="Borç",-$D36,$D36))</f>
        <v/>
      </c>
      <c r="F36" s="18" t="str">
        <f aca="false">IF($A36="","",IFERROR(IF(INDEX(tblOrtak[Ortak Adı],ROW($A36)-ROW(tblOrtak[[#Headers],[Tarih]])-1)=$B36,INDEX(tblOrtak[Bakiye (₺)],ROW($A36)-ROW(tblOrtak[[#Headers],[Tarih]])-1)+$E36,$E36),$E36))</f>
        <v/>
      </c>
      <c r="G36" s="19" t="str">
        <f aca="false">IF($A36="","",IFERROR(IF(INDEX(tblOrtak[Tarih],ROW($A36)-ROW(tblOrtak[[#Headers],[Tarih]])+1)=0,RaporTarihi,INDEX(tblOrtak[Tarih],ROW($A36)-ROW(tblOrtak[[#Headers],[Tarih]])+1))-$A36,RaporTarihi-$A36))</f>
        <v/>
      </c>
      <c r="H36" s="18" t="n">
        <f aca="false">IF($F36="",0,ROUND($F36*$G36,0))</f>
        <v>0</v>
      </c>
      <c r="I36" s="18" t="n">
        <f aca="false">IF($H36="",0,ROUND($H36*AdatFaizOran/AdatYilGunSayisi,2))</f>
        <v>0</v>
      </c>
      <c r="J36" s="22"/>
    </row>
    <row r="37" customFormat="false" ht="15" hidden="false" customHeight="false" outlineLevel="0" collapsed="false">
      <c r="A37" s="21"/>
      <c r="B37" s="22"/>
      <c r="C37" s="22"/>
      <c r="D37" s="23"/>
      <c r="E37" s="20" t="str">
        <f aca="false">IF($A37="","",IF($C37="Borç",-$D37,$D37))</f>
        <v/>
      </c>
      <c r="F37" s="18" t="str">
        <f aca="false">IF($A37="","",IFERROR(IF(INDEX(tblOrtak[Ortak Adı],ROW($A37)-ROW(tblOrtak[[#Headers],[Tarih]])-1)=$B37,INDEX(tblOrtak[Bakiye (₺)],ROW($A37)-ROW(tblOrtak[[#Headers],[Tarih]])-1)+$E37,$E37),$E37))</f>
        <v/>
      </c>
      <c r="G37" s="19" t="str">
        <f aca="false">IF($A37="","",IFERROR(IF(INDEX(tblOrtak[Tarih],ROW($A37)-ROW(tblOrtak[[#Headers],[Tarih]])+1)=0,RaporTarihi,INDEX(tblOrtak[Tarih],ROW($A37)-ROW(tblOrtak[[#Headers],[Tarih]])+1))-$A37,RaporTarihi-$A37))</f>
        <v/>
      </c>
      <c r="H37" s="18" t="n">
        <f aca="false">IF($F37="",0,ROUND($F37*$G37,0))</f>
        <v>0</v>
      </c>
      <c r="I37" s="18" t="n">
        <f aca="false">IF($H37="",0,ROUND($H37*AdatFaizOran/AdatYilGunSayisi,2))</f>
        <v>0</v>
      </c>
      <c r="J37" s="22"/>
    </row>
    <row r="38" customFormat="false" ht="15" hidden="false" customHeight="false" outlineLevel="0" collapsed="false">
      <c r="A38" s="21"/>
      <c r="B38" s="22"/>
      <c r="C38" s="22"/>
      <c r="D38" s="23"/>
      <c r="E38" s="20" t="str">
        <f aca="false">IF($A38="","",IF($C38="Borç",-$D38,$D38))</f>
        <v/>
      </c>
      <c r="F38" s="18" t="str">
        <f aca="false">IF($A38="","",IFERROR(IF(INDEX(tblOrtak[Ortak Adı],ROW($A38)-ROW(tblOrtak[[#Headers],[Tarih]])-1)=$B38,INDEX(tblOrtak[Bakiye (₺)],ROW($A38)-ROW(tblOrtak[[#Headers],[Tarih]])-1)+$E38,$E38),$E38))</f>
        <v/>
      </c>
      <c r="G38" s="19" t="str">
        <f aca="false">IF($A38="","",IFERROR(IF(INDEX(tblOrtak[Tarih],ROW($A38)-ROW(tblOrtak[[#Headers],[Tarih]])+1)=0,RaporTarihi,INDEX(tblOrtak[Tarih],ROW($A38)-ROW(tblOrtak[[#Headers],[Tarih]])+1))-$A38,RaporTarihi-$A38))</f>
        <v/>
      </c>
      <c r="H38" s="18" t="n">
        <f aca="false">IF($F38="",0,ROUND($F38*$G38,0))</f>
        <v>0</v>
      </c>
      <c r="I38" s="18" t="n">
        <f aca="false">IF($H38="",0,ROUND($H38*AdatFaizOran/AdatYilGunSayisi,2))</f>
        <v>0</v>
      </c>
      <c r="J38" s="22"/>
    </row>
    <row r="39" customFormat="false" ht="15" hidden="false" customHeight="false" outlineLevel="0" collapsed="false">
      <c r="A39" s="21"/>
      <c r="B39" s="22"/>
      <c r="C39" s="22"/>
      <c r="D39" s="23"/>
      <c r="E39" s="20" t="str">
        <f aca="false">IF($A39="","",IF($C39="Borç",-$D39,$D39))</f>
        <v/>
      </c>
      <c r="F39" s="18" t="str">
        <f aca="false">IF($A39="","",IFERROR(IF(INDEX(tblOrtak[Ortak Adı],ROW($A39)-ROW(tblOrtak[[#Headers],[Tarih]])-1)=$B39,INDEX(tblOrtak[Bakiye (₺)],ROW($A39)-ROW(tblOrtak[[#Headers],[Tarih]])-1)+$E39,$E39),$E39))</f>
        <v/>
      </c>
      <c r="G39" s="19" t="str">
        <f aca="false">IF($A39="","",IFERROR(IF(INDEX(tblOrtak[Tarih],ROW($A39)-ROW(tblOrtak[[#Headers],[Tarih]])+1)=0,RaporTarihi,INDEX(tblOrtak[Tarih],ROW($A39)-ROW(tblOrtak[[#Headers],[Tarih]])+1))-$A39,RaporTarihi-$A39))</f>
        <v/>
      </c>
      <c r="H39" s="18" t="n">
        <f aca="false">IF($F39="",0,ROUND($F39*$G39,0))</f>
        <v>0</v>
      </c>
      <c r="I39" s="18" t="n">
        <f aca="false">IF($H39="",0,ROUND($H39*AdatFaizOran/AdatYilGunSayisi,2))</f>
        <v>0</v>
      </c>
      <c r="J39" s="22"/>
    </row>
    <row r="40" customFormat="false" ht="15" hidden="false" customHeight="false" outlineLevel="0" collapsed="false">
      <c r="A40" s="21"/>
      <c r="B40" s="22"/>
      <c r="C40" s="22"/>
      <c r="D40" s="23"/>
      <c r="E40" s="20" t="str">
        <f aca="false">IF($A40="","",IF($C40="Borç",-$D40,$D40))</f>
        <v/>
      </c>
      <c r="F40" s="18" t="str">
        <f aca="false">IF($A40="","",IFERROR(IF(INDEX(tblOrtak[Ortak Adı],ROW($A40)-ROW(tblOrtak[[#Headers],[Tarih]])-1)=$B40,INDEX(tblOrtak[Bakiye (₺)],ROW($A40)-ROW(tblOrtak[[#Headers],[Tarih]])-1)+$E40,$E40),$E40))</f>
        <v/>
      </c>
      <c r="G40" s="19" t="str">
        <f aca="false">IF($A40="","",IFERROR(IF(INDEX(tblOrtak[Tarih],ROW($A40)-ROW(tblOrtak[[#Headers],[Tarih]])+1)=0,RaporTarihi,INDEX(tblOrtak[Tarih],ROW($A40)-ROW(tblOrtak[[#Headers],[Tarih]])+1))-$A40,RaporTarihi-$A40))</f>
        <v/>
      </c>
      <c r="H40" s="18" t="n">
        <f aca="false">IF($F40="",0,ROUND($F40*$G40,0))</f>
        <v>0</v>
      </c>
      <c r="I40" s="18" t="n">
        <f aca="false">IF($H40="",0,ROUND($H40*AdatFaizOran/AdatYilGunSayisi,2))</f>
        <v>0</v>
      </c>
      <c r="J40" s="22"/>
    </row>
    <row r="41" customFormat="false" ht="15" hidden="false" customHeight="false" outlineLevel="0" collapsed="false">
      <c r="A41" s="21"/>
      <c r="B41" s="22"/>
      <c r="C41" s="22"/>
      <c r="D41" s="23"/>
      <c r="E41" s="20" t="str">
        <f aca="false">IF($A41="","",IF($C41="Borç",-$D41,$D41))</f>
        <v/>
      </c>
      <c r="F41" s="18" t="str">
        <f aca="false">IF($A41="","",IFERROR(IF(INDEX(tblOrtak[Ortak Adı],ROW($A41)-ROW(tblOrtak[[#Headers],[Tarih]])-1)=$B41,INDEX(tblOrtak[Bakiye (₺)],ROW($A41)-ROW(tblOrtak[[#Headers],[Tarih]])-1)+$E41,$E41),$E41))</f>
        <v/>
      </c>
      <c r="G41" s="19" t="str">
        <f aca="false">IF($A41="","",IFERROR(IF(INDEX(tblOrtak[Tarih],ROW($A41)-ROW(tblOrtak[[#Headers],[Tarih]])+1)=0,RaporTarihi,INDEX(tblOrtak[Tarih],ROW($A41)-ROW(tblOrtak[[#Headers],[Tarih]])+1))-$A41,RaporTarihi-$A41))</f>
        <v/>
      </c>
      <c r="H41" s="18" t="n">
        <f aca="false">IF($F41="",0,ROUND($F41*$G41,0))</f>
        <v>0</v>
      </c>
      <c r="I41" s="18" t="n">
        <f aca="false">IF($H41="",0,ROUND($H41*AdatFaizOran/AdatYilGunSayisi,2))</f>
        <v>0</v>
      </c>
      <c r="J41" s="22"/>
    </row>
    <row r="42" customFormat="false" ht="15" hidden="false" customHeight="false" outlineLevel="0" collapsed="false">
      <c r="A42" s="21"/>
      <c r="B42" s="22"/>
      <c r="C42" s="22"/>
      <c r="D42" s="23"/>
      <c r="E42" s="20" t="str">
        <f aca="false">IF($A42="","",IF($C42="Borç",-$D42,$D42))</f>
        <v/>
      </c>
      <c r="F42" s="18" t="str">
        <f aca="false">IF($A42="","",IFERROR(IF(INDEX(tblOrtak[Ortak Adı],ROW($A42)-ROW(tblOrtak[[#Headers],[Tarih]])-1)=$B42,INDEX(tblOrtak[Bakiye (₺)],ROW($A42)-ROW(tblOrtak[[#Headers],[Tarih]])-1)+$E42,$E42),$E42))</f>
        <v/>
      </c>
      <c r="G42" s="19" t="str">
        <f aca="false">IF($A42="","",IFERROR(IF(INDEX(tblOrtak[Tarih],ROW($A42)-ROW(tblOrtak[[#Headers],[Tarih]])+1)=0,RaporTarihi,INDEX(tblOrtak[Tarih],ROW($A42)-ROW(tblOrtak[[#Headers],[Tarih]])+1))-$A42,RaporTarihi-$A42))</f>
        <v/>
      </c>
      <c r="H42" s="18" t="n">
        <f aca="false">IF($F42="",0,ROUND($F42*$G42,0))</f>
        <v>0</v>
      </c>
      <c r="I42" s="18" t="n">
        <f aca="false">IF($H42="",0,ROUND($H42*AdatFaizOran/AdatYilGunSayisi,2))</f>
        <v>0</v>
      </c>
      <c r="J42" s="22"/>
    </row>
    <row r="43" customFormat="false" ht="15" hidden="false" customHeight="false" outlineLevel="0" collapsed="false">
      <c r="A43" s="21"/>
      <c r="B43" s="22"/>
      <c r="C43" s="22"/>
      <c r="D43" s="23"/>
      <c r="E43" s="20" t="str">
        <f aca="false">IF($A43="","",IF($C43="Borç",-$D43,$D43))</f>
        <v/>
      </c>
      <c r="F43" s="18" t="str">
        <f aca="false">IF($A43="","",IFERROR(IF(INDEX(tblOrtak[Ortak Adı],ROW($A43)-ROW(tblOrtak[[#Headers],[Tarih]])-1)=$B43,INDEX(tblOrtak[Bakiye (₺)],ROW($A43)-ROW(tblOrtak[[#Headers],[Tarih]])-1)+$E43,$E43),$E43))</f>
        <v/>
      </c>
      <c r="G43" s="19" t="str">
        <f aca="false">IF($A43="","",IFERROR(IF(INDEX(tblOrtak[Tarih],ROW($A43)-ROW(tblOrtak[[#Headers],[Tarih]])+1)=0,RaporTarihi,INDEX(tblOrtak[Tarih],ROW($A43)-ROW(tblOrtak[[#Headers],[Tarih]])+1))-$A43,RaporTarihi-$A43))</f>
        <v/>
      </c>
      <c r="H43" s="18" t="n">
        <f aca="false">IF($F43="",0,ROUND($F43*$G43,0))</f>
        <v>0</v>
      </c>
      <c r="I43" s="18" t="n">
        <f aca="false">IF($H43="",0,ROUND($H43*AdatFaizOran/AdatYilGunSayisi,2))</f>
        <v>0</v>
      </c>
      <c r="J43" s="22"/>
    </row>
    <row r="44" customFormat="false" ht="15" hidden="false" customHeight="false" outlineLevel="0" collapsed="false">
      <c r="A44" s="21"/>
      <c r="B44" s="22"/>
      <c r="C44" s="22"/>
      <c r="D44" s="23"/>
      <c r="E44" s="20" t="str">
        <f aca="false">IF($A44="","",IF($C44="Borç",-$D44,$D44))</f>
        <v/>
      </c>
      <c r="F44" s="18" t="str">
        <f aca="false">IF($A44="","",IFERROR(IF(INDEX(tblOrtak[Ortak Adı],ROW($A44)-ROW(tblOrtak[[#Headers],[Tarih]])-1)=$B44,INDEX(tblOrtak[Bakiye (₺)],ROW($A44)-ROW(tblOrtak[[#Headers],[Tarih]])-1)+$E44,$E44),$E44))</f>
        <v/>
      </c>
      <c r="G44" s="19" t="str">
        <f aca="false">IF($A44="","",IFERROR(IF(INDEX(tblOrtak[Tarih],ROW($A44)-ROW(tblOrtak[[#Headers],[Tarih]])+1)=0,RaporTarihi,INDEX(tblOrtak[Tarih],ROW($A44)-ROW(tblOrtak[[#Headers],[Tarih]])+1))-$A44,RaporTarihi-$A44))</f>
        <v/>
      </c>
      <c r="H44" s="18" t="n">
        <f aca="false">IF($F44="",0,ROUND($F44*$G44,0))</f>
        <v>0</v>
      </c>
      <c r="I44" s="18" t="n">
        <f aca="false">IF($H44="",0,ROUND($H44*AdatFaizOran/AdatYilGunSayisi,2))</f>
        <v>0</v>
      </c>
      <c r="J44" s="22"/>
    </row>
    <row r="45" customFormat="false" ht="15" hidden="false" customHeight="false" outlineLevel="0" collapsed="false">
      <c r="A45" s="21"/>
      <c r="B45" s="22"/>
      <c r="C45" s="22"/>
      <c r="D45" s="23"/>
      <c r="E45" s="20" t="str">
        <f aca="false">IF($A45="","",IF($C45="Borç",-$D45,$D45))</f>
        <v/>
      </c>
      <c r="F45" s="18" t="str">
        <f aca="false">IF($A45="","",IFERROR(IF(INDEX(tblOrtak[Ortak Adı],ROW($A45)-ROW(tblOrtak[[#Headers],[Tarih]])-1)=$B45,INDEX(tblOrtak[Bakiye (₺)],ROW($A45)-ROW(tblOrtak[[#Headers],[Tarih]])-1)+$E45,$E45),$E45))</f>
        <v/>
      </c>
      <c r="G45" s="19" t="str">
        <f aca="false">IF($A45="","",IFERROR(IF(INDEX(tblOrtak[Tarih],ROW($A45)-ROW(tblOrtak[[#Headers],[Tarih]])+1)=0,RaporTarihi,INDEX(tblOrtak[Tarih],ROW($A45)-ROW(tblOrtak[[#Headers],[Tarih]])+1))-$A45,RaporTarihi-$A45))</f>
        <v/>
      </c>
      <c r="H45" s="18" t="n">
        <f aca="false">IF($F45="",0,ROUND($F45*$G45,0))</f>
        <v>0</v>
      </c>
      <c r="I45" s="18" t="n">
        <f aca="false">IF($H45="",0,ROUND($H45*AdatFaizOran/AdatYilGunSayisi,2))</f>
        <v>0</v>
      </c>
      <c r="J45" s="22"/>
    </row>
    <row r="46" customFormat="false" ht="15" hidden="false" customHeight="false" outlineLevel="0" collapsed="false">
      <c r="A46" s="21"/>
      <c r="B46" s="22"/>
      <c r="C46" s="22"/>
      <c r="D46" s="23"/>
      <c r="E46" s="20" t="str">
        <f aca="false">IF($A46="","",IF($C46="Borç",-$D46,$D46))</f>
        <v/>
      </c>
      <c r="F46" s="18" t="str">
        <f aca="false">IF($A46="","",IFERROR(IF(INDEX(tblOrtak[Ortak Adı],ROW($A46)-ROW(tblOrtak[[#Headers],[Tarih]])-1)=$B46,INDEX(tblOrtak[Bakiye (₺)],ROW($A46)-ROW(tblOrtak[[#Headers],[Tarih]])-1)+$E46,$E46),$E46))</f>
        <v/>
      </c>
      <c r="G46" s="19" t="str">
        <f aca="false">IF($A46="","",IFERROR(IF(INDEX(tblOrtak[Tarih],ROW($A46)-ROW(tblOrtak[[#Headers],[Tarih]])+1)=0,RaporTarihi,INDEX(tblOrtak[Tarih],ROW($A46)-ROW(tblOrtak[[#Headers],[Tarih]])+1))-$A46,RaporTarihi-$A46))</f>
        <v/>
      </c>
      <c r="H46" s="18" t="n">
        <f aca="false">IF($F46="",0,ROUND($F46*$G46,0))</f>
        <v>0</v>
      </c>
      <c r="I46" s="18" t="n">
        <f aca="false">IF($H46="",0,ROUND($H46*AdatFaizOran/AdatYilGunSayisi,2))</f>
        <v>0</v>
      </c>
      <c r="J46" s="22"/>
    </row>
    <row r="47" customFormat="false" ht="15" hidden="false" customHeight="false" outlineLevel="0" collapsed="false">
      <c r="A47" s="21"/>
      <c r="B47" s="22"/>
      <c r="C47" s="22"/>
      <c r="D47" s="23"/>
      <c r="E47" s="20" t="str">
        <f aca="false">IF($A47="","",IF($C47="Borç",-$D47,$D47))</f>
        <v/>
      </c>
      <c r="F47" s="18" t="str">
        <f aca="false">IF($A47="","",IFERROR(IF(INDEX(tblOrtak[Ortak Adı],ROW($A47)-ROW(tblOrtak[[#Headers],[Tarih]])-1)=$B47,INDEX(tblOrtak[Bakiye (₺)],ROW($A47)-ROW(tblOrtak[[#Headers],[Tarih]])-1)+$E47,$E47),$E47))</f>
        <v/>
      </c>
      <c r="G47" s="19" t="str">
        <f aca="false">IF($A47="","",IFERROR(IF(INDEX(tblOrtak[Tarih],ROW($A47)-ROW(tblOrtak[[#Headers],[Tarih]])+1)=0,RaporTarihi,INDEX(tblOrtak[Tarih],ROW($A47)-ROW(tblOrtak[[#Headers],[Tarih]])+1))-$A47,RaporTarihi-$A47))</f>
        <v/>
      </c>
      <c r="H47" s="18" t="n">
        <f aca="false">IF($F47="",0,ROUND($F47*$G47,0))</f>
        <v>0</v>
      </c>
      <c r="I47" s="18" t="n">
        <f aca="false">IF($H47="",0,ROUND($H47*AdatFaizOran/AdatYilGunSayisi,2))</f>
        <v>0</v>
      </c>
      <c r="J47" s="22"/>
    </row>
    <row r="48" customFormat="false" ht="15" hidden="false" customHeight="false" outlineLevel="0" collapsed="false">
      <c r="A48" s="21"/>
      <c r="B48" s="22"/>
      <c r="C48" s="22"/>
      <c r="D48" s="23"/>
      <c r="E48" s="20" t="str">
        <f aca="false">IF($A48="","",IF($C48="Borç",-$D48,$D48))</f>
        <v/>
      </c>
      <c r="F48" s="18" t="str">
        <f aca="false">IF($A48="","",IFERROR(IF(INDEX(tblOrtak[Ortak Adı],ROW($A48)-ROW(tblOrtak[[#Headers],[Tarih]])-1)=$B48,INDEX(tblOrtak[Bakiye (₺)],ROW($A48)-ROW(tblOrtak[[#Headers],[Tarih]])-1)+$E48,$E48),$E48))</f>
        <v/>
      </c>
      <c r="G48" s="19" t="str">
        <f aca="false">IF($A48="","",IFERROR(IF(INDEX(tblOrtak[Tarih],ROW($A48)-ROW(tblOrtak[[#Headers],[Tarih]])+1)=0,RaporTarihi,INDEX(tblOrtak[Tarih],ROW($A48)-ROW(tblOrtak[[#Headers],[Tarih]])+1))-$A48,RaporTarihi-$A48))</f>
        <v/>
      </c>
      <c r="H48" s="18" t="n">
        <f aca="false">IF($F48="",0,ROUND($F48*$G48,0))</f>
        <v>0</v>
      </c>
      <c r="I48" s="18" t="n">
        <f aca="false">IF($H48="",0,ROUND($H48*AdatFaizOran/AdatYilGunSayisi,2))</f>
        <v>0</v>
      </c>
      <c r="J48" s="22"/>
    </row>
    <row r="49" customFormat="false" ht="15" hidden="false" customHeight="false" outlineLevel="0" collapsed="false">
      <c r="A49" s="21"/>
      <c r="B49" s="22"/>
      <c r="C49" s="22"/>
      <c r="D49" s="23"/>
      <c r="E49" s="20" t="str">
        <f aca="false">IF($A49="","",IF($C49="Borç",-$D49,$D49))</f>
        <v/>
      </c>
      <c r="F49" s="18" t="str">
        <f aca="false">IF($A49="","",IFERROR(IF(INDEX(tblOrtak[Ortak Adı],ROW($A49)-ROW(tblOrtak[[#Headers],[Tarih]])-1)=$B49,INDEX(tblOrtak[Bakiye (₺)],ROW($A49)-ROW(tblOrtak[[#Headers],[Tarih]])-1)+$E49,$E49),$E49))</f>
        <v/>
      </c>
      <c r="G49" s="19" t="str">
        <f aca="false">IF($A49="","",IFERROR(IF(INDEX(tblOrtak[Tarih],ROW($A49)-ROW(tblOrtak[[#Headers],[Tarih]])+1)=0,RaporTarihi,INDEX(tblOrtak[Tarih],ROW($A49)-ROW(tblOrtak[[#Headers],[Tarih]])+1))-$A49,RaporTarihi-$A49))</f>
        <v/>
      </c>
      <c r="H49" s="18" t="n">
        <f aca="false">IF($F49="",0,ROUND($F49*$G49,0))</f>
        <v>0</v>
      </c>
      <c r="I49" s="18" t="n">
        <f aca="false">IF($H49="",0,ROUND($H49*AdatFaizOran/AdatYilGunSayisi,2))</f>
        <v>0</v>
      </c>
      <c r="J49" s="22"/>
    </row>
    <row r="50" customFormat="false" ht="15" hidden="false" customHeight="false" outlineLevel="0" collapsed="false">
      <c r="A50" s="21"/>
      <c r="B50" s="22"/>
      <c r="C50" s="22"/>
      <c r="D50" s="23"/>
      <c r="E50" s="20" t="str">
        <f aca="false">IF($A50="","",IF($C50="Borç",-$D50,$D50))</f>
        <v/>
      </c>
      <c r="F50" s="18" t="str">
        <f aca="false">IF($A50="","",IFERROR(IF(INDEX(tblOrtak[Ortak Adı],ROW($A50)-ROW(tblOrtak[[#Headers],[Tarih]])-1)=$B50,INDEX(tblOrtak[Bakiye (₺)],ROW($A50)-ROW(tblOrtak[[#Headers],[Tarih]])-1)+$E50,$E50),$E50))</f>
        <v/>
      </c>
      <c r="G50" s="19" t="str">
        <f aca="false">IF($A50="","",IFERROR(IF(INDEX(tblOrtak[Tarih],ROW($A50)-ROW(tblOrtak[[#Headers],[Tarih]])+1)=0,RaporTarihi,INDEX(tblOrtak[Tarih],ROW($A50)-ROW(tblOrtak[[#Headers],[Tarih]])+1))-$A50,RaporTarihi-$A50))</f>
        <v/>
      </c>
      <c r="H50" s="18" t="n">
        <f aca="false">IF($F50="",0,ROUND($F50*$G50,0))</f>
        <v>0</v>
      </c>
      <c r="I50" s="18" t="n">
        <f aca="false">IF($H50="",0,ROUND($H50*AdatFaizOran/AdatYilGunSayisi,2))</f>
        <v>0</v>
      </c>
      <c r="J50" s="22"/>
    </row>
    <row r="51" customFormat="false" ht="15" hidden="false" customHeight="false" outlineLevel="0" collapsed="false">
      <c r="A51" s="21"/>
      <c r="B51" s="22"/>
      <c r="C51" s="22"/>
      <c r="D51" s="23"/>
      <c r="E51" s="20" t="str">
        <f aca="false">IF($A51="","",IF($C51="Borç",-$D51,$D51))</f>
        <v/>
      </c>
      <c r="F51" s="18" t="str">
        <f aca="false">IF($A51="","",IFERROR(IF(INDEX(tblOrtak[Ortak Adı],ROW($A51)-ROW(tblOrtak[[#Headers],[Tarih]])-1)=$B51,INDEX(tblOrtak[Bakiye (₺)],ROW($A51)-ROW(tblOrtak[[#Headers],[Tarih]])-1)+$E51,$E51),$E51))</f>
        <v/>
      </c>
      <c r="G51" s="19" t="str">
        <f aca="false">IF($A51="","",IFERROR(IF(INDEX(tblOrtak[Tarih],ROW($A51)-ROW(tblOrtak[[#Headers],[Tarih]])+1)=0,RaporTarihi,INDEX(tblOrtak[Tarih],ROW($A51)-ROW(tblOrtak[[#Headers],[Tarih]])+1))-$A51,RaporTarihi-$A51))</f>
        <v/>
      </c>
      <c r="H51" s="18" t="n">
        <f aca="false">IF($F51="",0,ROUND($F51*$G51,0))</f>
        <v>0</v>
      </c>
      <c r="I51" s="18" t="n">
        <f aca="false">IF($H51="",0,ROUND($H51*AdatFaizOran/AdatYilGunSayisi,2))</f>
        <v>0</v>
      </c>
      <c r="J51" s="22"/>
    </row>
    <row r="52" customFormat="false" ht="15" hidden="false" customHeight="false" outlineLevel="0" collapsed="false">
      <c r="A52" s="21"/>
      <c r="B52" s="22"/>
      <c r="C52" s="22"/>
      <c r="D52" s="23"/>
      <c r="E52" s="20" t="str">
        <f aca="false">IF($A52="","",IF($C52="Borç",-$D52,$D52))</f>
        <v/>
      </c>
      <c r="F52" s="18" t="str">
        <f aca="false">IF($A52="","",IFERROR(IF(INDEX(tblOrtak[Ortak Adı],ROW($A52)-ROW(tblOrtak[[#Headers],[Tarih]])-1)=$B52,INDEX(tblOrtak[Bakiye (₺)],ROW($A52)-ROW(tblOrtak[[#Headers],[Tarih]])-1)+$E52,$E52),$E52))</f>
        <v/>
      </c>
      <c r="G52" s="19" t="str">
        <f aca="false">IF($A52="","",IFERROR(IF(INDEX(tblOrtak[Tarih],ROW($A52)-ROW(tblOrtak[[#Headers],[Tarih]])+1)=0,RaporTarihi,INDEX(tblOrtak[Tarih],ROW($A52)-ROW(tblOrtak[[#Headers],[Tarih]])+1))-$A52,RaporTarihi-$A52))</f>
        <v/>
      </c>
      <c r="H52" s="18" t="n">
        <f aca="false">IF($F52="",0,ROUND($F52*$G52,0))</f>
        <v>0</v>
      </c>
      <c r="I52" s="18" t="n">
        <f aca="false">IF($H52="",0,ROUND($H52*AdatFaizOran/AdatYilGunSayisi,2))</f>
        <v>0</v>
      </c>
      <c r="J52" s="22"/>
    </row>
    <row r="53" customFormat="false" ht="15" hidden="false" customHeight="false" outlineLevel="0" collapsed="false">
      <c r="A53" s="21"/>
      <c r="B53" s="22"/>
      <c r="C53" s="22"/>
      <c r="D53" s="23"/>
      <c r="E53" s="20" t="str">
        <f aca="false">IF($A53="","",IF($C53="Borç",-$D53,$D53))</f>
        <v/>
      </c>
      <c r="F53" s="18" t="str">
        <f aca="false">IF($A53="","",IFERROR(IF(INDEX(tblOrtak[Ortak Adı],ROW($A53)-ROW(tblOrtak[[#Headers],[Tarih]])-1)=$B53,INDEX(tblOrtak[Bakiye (₺)],ROW($A53)-ROW(tblOrtak[[#Headers],[Tarih]])-1)+$E53,$E53),$E53))</f>
        <v/>
      </c>
      <c r="G53" s="19" t="str">
        <f aca="false">IF($A53="","",IFERROR(IF(INDEX(tblOrtak[Tarih],ROW($A53)-ROW(tblOrtak[[#Headers],[Tarih]])+1)=0,RaporTarihi,INDEX(tblOrtak[Tarih],ROW($A53)-ROW(tblOrtak[[#Headers],[Tarih]])+1))-$A53,RaporTarihi-$A53))</f>
        <v/>
      </c>
      <c r="H53" s="18" t="n">
        <f aca="false">IF($F53="",0,ROUND($F53*$G53,0))</f>
        <v>0</v>
      </c>
      <c r="I53" s="18" t="n">
        <f aca="false">IF($H53="",0,ROUND($H53*AdatFaizOran/AdatYilGunSayisi,2))</f>
        <v>0</v>
      </c>
      <c r="J53" s="22"/>
    </row>
    <row r="54" customFormat="false" ht="15" hidden="false" customHeight="false" outlineLevel="0" collapsed="false">
      <c r="A54" s="21"/>
      <c r="B54" s="22"/>
      <c r="C54" s="22"/>
      <c r="D54" s="23"/>
      <c r="E54" s="20" t="str">
        <f aca="false">IF($A54="","",IF($C54="Borç",-$D54,$D54))</f>
        <v/>
      </c>
      <c r="F54" s="18" t="str">
        <f aca="false">IF($A54="","",IFERROR(IF(INDEX(tblOrtak[Ortak Adı],ROW($A54)-ROW(tblOrtak[[#Headers],[Tarih]])-1)=$B54,INDEX(tblOrtak[Bakiye (₺)],ROW($A54)-ROW(tblOrtak[[#Headers],[Tarih]])-1)+$E54,$E54),$E54))</f>
        <v/>
      </c>
      <c r="G54" s="19" t="str">
        <f aca="false">IF($A54="","",IFERROR(IF(INDEX(tblOrtak[Tarih],ROW($A54)-ROW(tblOrtak[[#Headers],[Tarih]])+1)=0,RaporTarihi,INDEX(tblOrtak[Tarih],ROW($A54)-ROW(tblOrtak[[#Headers],[Tarih]])+1))-$A54,RaporTarihi-$A54))</f>
        <v/>
      </c>
      <c r="H54" s="18" t="n">
        <f aca="false">IF($F54="",0,ROUND($F54*$G54,0))</f>
        <v>0</v>
      </c>
      <c r="I54" s="18" t="n">
        <f aca="false">IF($H54="",0,ROUND($H54*AdatFaizOran/AdatYilGunSayisi,2))</f>
        <v>0</v>
      </c>
      <c r="J54" s="22"/>
    </row>
    <row r="55" customFormat="false" ht="15" hidden="false" customHeight="false" outlineLevel="0" collapsed="false">
      <c r="A55" s="21"/>
      <c r="B55" s="22"/>
      <c r="C55" s="22"/>
      <c r="D55" s="23"/>
      <c r="E55" s="20" t="str">
        <f aca="false">IF($A55="","",IF($C55="Borç",-$D55,$D55))</f>
        <v/>
      </c>
      <c r="F55" s="18" t="str">
        <f aca="false">IF($A55="","",IFERROR(IF(INDEX(tblOrtak[Ortak Adı],ROW($A55)-ROW(tblOrtak[[#Headers],[Tarih]])-1)=$B55,INDEX(tblOrtak[Bakiye (₺)],ROW($A55)-ROW(tblOrtak[[#Headers],[Tarih]])-1)+$E55,$E55),$E55))</f>
        <v/>
      </c>
      <c r="G55" s="19" t="str">
        <f aca="false">IF($A55="","",IFERROR(IF(INDEX(tblOrtak[Tarih],ROW($A55)-ROW(tblOrtak[[#Headers],[Tarih]])+1)=0,RaporTarihi,INDEX(tblOrtak[Tarih],ROW($A55)-ROW(tblOrtak[[#Headers],[Tarih]])+1))-$A55,RaporTarihi-$A55))</f>
        <v/>
      </c>
      <c r="H55" s="18" t="n">
        <f aca="false">IF($F55="",0,ROUND($F55*$G55,0))</f>
        <v>0</v>
      </c>
      <c r="I55" s="18" t="n">
        <f aca="false">IF($H55="",0,ROUND($H55*AdatFaizOran/AdatYilGunSayisi,2))</f>
        <v>0</v>
      </c>
      <c r="J55" s="22"/>
    </row>
    <row r="56" customFormat="false" ht="15" hidden="false" customHeight="false" outlineLevel="0" collapsed="false">
      <c r="A56" s="21"/>
      <c r="B56" s="22"/>
      <c r="C56" s="22"/>
      <c r="D56" s="23"/>
      <c r="E56" s="20" t="str">
        <f aca="false">IF($A56="","",IF($C56="Borç",-$D56,$D56))</f>
        <v/>
      </c>
      <c r="F56" s="18" t="str">
        <f aca="false">IF($A56="","",IFERROR(IF(INDEX(tblOrtak[Ortak Adı],ROW($A56)-ROW(tblOrtak[[#Headers],[Tarih]])-1)=$B56,INDEX(tblOrtak[Bakiye (₺)],ROW($A56)-ROW(tblOrtak[[#Headers],[Tarih]])-1)+$E56,$E56),$E56))</f>
        <v/>
      </c>
      <c r="G56" s="19" t="str">
        <f aca="false">IF($A56="","",IFERROR(IF(INDEX(tblOrtak[Tarih],ROW($A56)-ROW(tblOrtak[[#Headers],[Tarih]])+1)=0,RaporTarihi,INDEX(tblOrtak[Tarih],ROW($A56)-ROW(tblOrtak[[#Headers],[Tarih]])+1))-$A56,RaporTarihi-$A56))</f>
        <v/>
      </c>
      <c r="H56" s="18" t="n">
        <f aca="false">IF($F56="",0,ROUND($F56*$G56,0))</f>
        <v>0</v>
      </c>
      <c r="I56" s="18" t="n">
        <f aca="false">IF($H56="",0,ROUND($H56*AdatFaizOran/AdatYilGunSayisi,2))</f>
        <v>0</v>
      </c>
      <c r="J56" s="22"/>
    </row>
    <row r="57" customFormat="false" ht="15" hidden="false" customHeight="false" outlineLevel="0" collapsed="false">
      <c r="A57" s="21"/>
      <c r="B57" s="22"/>
      <c r="C57" s="22"/>
      <c r="D57" s="23"/>
      <c r="E57" s="20" t="str">
        <f aca="false">IF($A57="","",IF($C57="Borç",-$D57,$D57))</f>
        <v/>
      </c>
      <c r="F57" s="18" t="str">
        <f aca="false">IF($A57="","",IFERROR(IF(INDEX(tblOrtak[Ortak Adı],ROW($A57)-ROW(tblOrtak[[#Headers],[Tarih]])-1)=$B57,INDEX(tblOrtak[Bakiye (₺)],ROW($A57)-ROW(tblOrtak[[#Headers],[Tarih]])-1)+$E57,$E57),$E57))</f>
        <v/>
      </c>
      <c r="G57" s="19" t="str">
        <f aca="false">IF($A57="","",IFERROR(IF(INDEX(tblOrtak[Tarih],ROW($A57)-ROW(tblOrtak[[#Headers],[Tarih]])+1)=0,RaporTarihi,INDEX(tblOrtak[Tarih],ROW($A57)-ROW(tblOrtak[[#Headers],[Tarih]])+1))-$A57,RaporTarihi-$A57))</f>
        <v/>
      </c>
      <c r="H57" s="18" t="n">
        <f aca="false">IF($F57="",0,ROUND($F57*$G57,0))</f>
        <v>0</v>
      </c>
      <c r="I57" s="18" t="n">
        <f aca="false">IF($H57="",0,ROUND($H57*AdatFaizOran/AdatYilGunSayisi,2))</f>
        <v>0</v>
      </c>
      <c r="J57" s="22"/>
    </row>
    <row r="58" customFormat="false" ht="15" hidden="false" customHeight="false" outlineLevel="0" collapsed="false">
      <c r="A58" s="21"/>
      <c r="B58" s="22"/>
      <c r="C58" s="22"/>
      <c r="D58" s="23"/>
      <c r="E58" s="20" t="str">
        <f aca="false">IF($A58="","",IF($C58="Borç",-$D58,$D58))</f>
        <v/>
      </c>
      <c r="F58" s="18" t="str">
        <f aca="false">IF($A58="","",IFERROR(IF(INDEX(tblOrtak[Ortak Adı],ROW($A58)-ROW(tblOrtak[[#Headers],[Tarih]])-1)=$B58,INDEX(tblOrtak[Bakiye (₺)],ROW($A58)-ROW(tblOrtak[[#Headers],[Tarih]])-1)+$E58,$E58),$E58))</f>
        <v/>
      </c>
      <c r="G58" s="19" t="str">
        <f aca="false">IF($A58="","",IFERROR(IF(INDEX(tblOrtak[Tarih],ROW($A58)-ROW(tblOrtak[[#Headers],[Tarih]])+1)=0,RaporTarihi,INDEX(tblOrtak[Tarih],ROW($A58)-ROW(tblOrtak[[#Headers],[Tarih]])+1))-$A58,RaporTarihi-$A58))</f>
        <v/>
      </c>
      <c r="H58" s="18" t="n">
        <f aca="false">IF($F58="",0,ROUND($F58*$G58,0))</f>
        <v>0</v>
      </c>
      <c r="I58" s="18" t="n">
        <f aca="false">IF($H58="",0,ROUND($H58*AdatFaizOran/AdatYilGunSayisi,2))</f>
        <v>0</v>
      </c>
      <c r="J58" s="22"/>
    </row>
    <row r="59" customFormat="false" ht="15" hidden="false" customHeight="false" outlineLevel="0" collapsed="false">
      <c r="A59" s="21"/>
      <c r="B59" s="22"/>
      <c r="C59" s="22"/>
      <c r="D59" s="23"/>
      <c r="E59" s="20" t="str">
        <f aca="false">IF($A59="","",IF($C59="Borç",-$D59,$D59))</f>
        <v/>
      </c>
      <c r="F59" s="18" t="str">
        <f aca="false">IF($A59="","",IFERROR(IF(INDEX(tblOrtak[Ortak Adı],ROW($A59)-ROW(tblOrtak[[#Headers],[Tarih]])-1)=$B59,INDEX(tblOrtak[Bakiye (₺)],ROW($A59)-ROW(tblOrtak[[#Headers],[Tarih]])-1)+$E59,$E59),$E59))</f>
        <v/>
      </c>
      <c r="G59" s="19" t="str">
        <f aca="false">IF($A59="","",IFERROR(IF(INDEX(tblOrtak[Tarih],ROW($A59)-ROW(tblOrtak[[#Headers],[Tarih]])+1)=0,RaporTarihi,INDEX(tblOrtak[Tarih],ROW($A59)-ROW(tblOrtak[[#Headers],[Tarih]])+1))-$A59,RaporTarihi-$A59))</f>
        <v/>
      </c>
      <c r="H59" s="18" t="n">
        <f aca="false">IF($F59="",0,ROUND($F59*$G59,0))</f>
        <v>0</v>
      </c>
      <c r="I59" s="18" t="n">
        <f aca="false">IF($H59="",0,ROUND($H59*AdatFaizOran/AdatYilGunSayisi,2))</f>
        <v>0</v>
      </c>
      <c r="J59" s="22"/>
    </row>
    <row r="60" customFormat="false" ht="15" hidden="false" customHeight="false" outlineLevel="0" collapsed="false">
      <c r="A60" s="21"/>
      <c r="B60" s="22"/>
      <c r="C60" s="22"/>
      <c r="D60" s="23"/>
      <c r="E60" s="20" t="str">
        <f aca="false">IF($A60="","",IF($C60="Borç",-$D60,$D60))</f>
        <v/>
      </c>
      <c r="F60" s="18" t="str">
        <f aca="false">IF($A60="","",IFERROR(IF(INDEX(tblOrtak[Ortak Adı],ROW($A60)-ROW(tblOrtak[[#Headers],[Tarih]])-1)=$B60,INDEX(tblOrtak[Bakiye (₺)],ROW($A60)-ROW(tblOrtak[[#Headers],[Tarih]])-1)+$E60,$E60),$E60))</f>
        <v/>
      </c>
      <c r="G60" s="19" t="str">
        <f aca="false">IF($A60="","",IFERROR(IF(INDEX(tblOrtak[Tarih],ROW($A60)-ROW(tblOrtak[[#Headers],[Tarih]])+1)=0,RaporTarihi,INDEX(tblOrtak[Tarih],ROW($A60)-ROW(tblOrtak[[#Headers],[Tarih]])+1))-$A60,RaporTarihi-$A60))</f>
        <v/>
      </c>
      <c r="H60" s="18" t="n">
        <f aca="false">IF($F60="",0,ROUND($F60*$G60,0))</f>
        <v>0</v>
      </c>
      <c r="I60" s="18" t="n">
        <f aca="false">IF($H60="",0,ROUND($H60*AdatFaizOran/AdatYilGunSayisi,2))</f>
        <v>0</v>
      </c>
      <c r="J60" s="22"/>
    </row>
    <row r="61" customFormat="false" ht="15" hidden="false" customHeight="false" outlineLevel="0" collapsed="false">
      <c r="A61" s="21"/>
      <c r="B61" s="22"/>
      <c r="C61" s="22"/>
      <c r="D61" s="23"/>
      <c r="E61" s="20" t="str">
        <f aca="false">IF($A61="","",IF($C61="Borç",-$D61,$D61))</f>
        <v/>
      </c>
      <c r="F61" s="18" t="str">
        <f aca="false">IF($A61="","",IFERROR(IF(INDEX(tblOrtak[Ortak Adı],ROW($A61)-ROW(tblOrtak[[#Headers],[Tarih]])-1)=$B61,INDEX(tblOrtak[Bakiye (₺)],ROW($A61)-ROW(tblOrtak[[#Headers],[Tarih]])-1)+$E61,$E61),$E61))</f>
        <v/>
      </c>
      <c r="G61" s="19" t="str">
        <f aca="false">IF($A61="","",IFERROR(IF(INDEX(tblOrtak[Tarih],ROW($A61)-ROW(tblOrtak[[#Headers],[Tarih]])+1)=0,RaporTarihi,INDEX(tblOrtak[Tarih],ROW($A61)-ROW(tblOrtak[[#Headers],[Tarih]])+1))-$A61,RaporTarihi-$A61))</f>
        <v/>
      </c>
      <c r="H61" s="18" t="n">
        <f aca="false">IF($F61="",0,ROUND($F61*$G61,0))</f>
        <v>0</v>
      </c>
      <c r="I61" s="18" t="n">
        <f aca="false">IF($H61="",0,ROUND($H61*AdatFaizOran/AdatYilGunSayisi,2))</f>
        <v>0</v>
      </c>
      <c r="J61" s="22"/>
    </row>
    <row r="62" customFormat="false" ht="15" hidden="false" customHeight="false" outlineLevel="0" collapsed="false">
      <c r="A62" s="21"/>
      <c r="B62" s="22"/>
      <c r="C62" s="22"/>
      <c r="D62" s="23"/>
      <c r="E62" s="20" t="str">
        <f aca="false">IF($A62="","",IF($C62="Borç",-$D62,$D62))</f>
        <v/>
      </c>
      <c r="F62" s="18" t="str">
        <f aca="false">IF($A62="","",IFERROR(IF(INDEX(tblOrtak[Ortak Adı],ROW($A62)-ROW(tblOrtak[[#Headers],[Tarih]])-1)=$B62,INDEX(tblOrtak[Bakiye (₺)],ROW($A62)-ROW(tblOrtak[[#Headers],[Tarih]])-1)+$E62,$E62),$E62))</f>
        <v/>
      </c>
      <c r="G62" s="19" t="str">
        <f aca="false">IF($A62="","",IFERROR(IF(INDEX(tblOrtak[Tarih],ROW($A62)-ROW(tblOrtak[[#Headers],[Tarih]])+1)=0,RaporTarihi,INDEX(tblOrtak[Tarih],ROW($A62)-ROW(tblOrtak[[#Headers],[Tarih]])+1))-$A62,RaporTarihi-$A62))</f>
        <v/>
      </c>
      <c r="H62" s="18" t="n">
        <f aca="false">IF($F62="",0,ROUND($F62*$G62,0))</f>
        <v>0</v>
      </c>
      <c r="I62" s="18" t="n">
        <f aca="false">IF($H62="",0,ROUND($H62*AdatFaizOran/AdatYilGunSayisi,2))</f>
        <v>0</v>
      </c>
      <c r="J62" s="22"/>
    </row>
    <row r="63" customFormat="false" ht="15" hidden="false" customHeight="false" outlineLevel="0" collapsed="false">
      <c r="A63" s="21"/>
      <c r="B63" s="22"/>
      <c r="C63" s="22"/>
      <c r="D63" s="23"/>
      <c r="E63" s="20" t="str">
        <f aca="false">IF($A63="","",IF($C63="Borç",-$D63,$D63))</f>
        <v/>
      </c>
      <c r="F63" s="18" t="str">
        <f aca="false">IF($A63="","",IFERROR(IF(INDEX(tblOrtak[Ortak Adı],ROW($A63)-ROW(tblOrtak[[#Headers],[Tarih]])-1)=$B63,INDEX(tblOrtak[Bakiye (₺)],ROW($A63)-ROW(tblOrtak[[#Headers],[Tarih]])-1)+$E63,$E63),$E63))</f>
        <v/>
      </c>
      <c r="G63" s="19" t="str">
        <f aca="false">IF($A63="","",IFERROR(IF(INDEX(tblOrtak[Tarih],ROW($A63)-ROW(tblOrtak[[#Headers],[Tarih]])+1)=0,RaporTarihi,INDEX(tblOrtak[Tarih],ROW($A63)-ROW(tblOrtak[[#Headers],[Tarih]])+1))-$A63,RaporTarihi-$A63))</f>
        <v/>
      </c>
      <c r="H63" s="18" t="n">
        <f aca="false">IF($F63="",0,ROUND($F63*$G63,0))</f>
        <v>0</v>
      </c>
      <c r="I63" s="18" t="n">
        <f aca="false">IF($H63="",0,ROUND($H63*AdatFaizOran/AdatYilGunSayisi,2))</f>
        <v>0</v>
      </c>
      <c r="J63" s="22"/>
    </row>
    <row r="64" customFormat="false" ht="15" hidden="false" customHeight="false" outlineLevel="0" collapsed="false">
      <c r="A64" s="21"/>
      <c r="B64" s="22"/>
      <c r="C64" s="22"/>
      <c r="D64" s="23"/>
      <c r="E64" s="20" t="str">
        <f aca="false">IF($A64="","",IF($C64="Borç",-$D64,$D64))</f>
        <v/>
      </c>
      <c r="F64" s="18" t="str">
        <f aca="false">IF($A64="","",IFERROR(IF(INDEX(tblOrtak[Ortak Adı],ROW($A64)-ROW(tblOrtak[[#Headers],[Tarih]])-1)=$B64,INDEX(tblOrtak[Bakiye (₺)],ROW($A64)-ROW(tblOrtak[[#Headers],[Tarih]])-1)+$E64,$E64),$E64))</f>
        <v/>
      </c>
      <c r="G64" s="19" t="str">
        <f aca="false">IF($A64="","",IFERROR(IF(INDEX(tblOrtak[Tarih],ROW($A64)-ROW(tblOrtak[[#Headers],[Tarih]])+1)=0,RaporTarihi,INDEX(tblOrtak[Tarih],ROW($A64)-ROW(tblOrtak[[#Headers],[Tarih]])+1))-$A64,RaporTarihi-$A64))</f>
        <v/>
      </c>
      <c r="H64" s="18" t="n">
        <f aca="false">IF($F64="",0,ROUND($F64*$G64,0))</f>
        <v>0</v>
      </c>
      <c r="I64" s="18" t="n">
        <f aca="false">IF($H64="",0,ROUND($H64*AdatFaizOran/AdatYilGunSayisi,2))</f>
        <v>0</v>
      </c>
      <c r="J64" s="22"/>
    </row>
    <row r="65" customFormat="false" ht="15" hidden="false" customHeight="false" outlineLevel="0" collapsed="false">
      <c r="A65" s="21"/>
      <c r="B65" s="22"/>
      <c r="C65" s="22"/>
      <c r="D65" s="23"/>
      <c r="E65" s="20" t="str">
        <f aca="false">IF($A65="","",IF($C65="Borç",-$D65,$D65))</f>
        <v/>
      </c>
      <c r="F65" s="18" t="str">
        <f aca="false">IF($A65="","",IFERROR(IF(INDEX(tblOrtak[Ortak Adı],ROW($A65)-ROW(tblOrtak[[#Headers],[Tarih]])-1)=$B65,INDEX(tblOrtak[Bakiye (₺)],ROW($A65)-ROW(tblOrtak[[#Headers],[Tarih]])-1)+$E65,$E65),$E65))</f>
        <v/>
      </c>
      <c r="G65" s="19" t="str">
        <f aca="false">IF($A65="","",IFERROR(IF(INDEX(tblOrtak[Tarih],ROW($A65)-ROW(tblOrtak[[#Headers],[Tarih]])+1)=0,RaporTarihi,INDEX(tblOrtak[Tarih],ROW($A65)-ROW(tblOrtak[[#Headers],[Tarih]])+1))-$A65,RaporTarihi-$A65))</f>
        <v/>
      </c>
      <c r="H65" s="18" t="n">
        <f aca="false">IF($F65="",0,ROUND($F65*$G65,0))</f>
        <v>0</v>
      </c>
      <c r="I65" s="18" t="n">
        <f aca="false">IF($H65="",0,ROUND($H65*AdatFaizOran/AdatYilGunSayisi,2))</f>
        <v>0</v>
      </c>
      <c r="J65" s="22"/>
    </row>
    <row r="66" customFormat="false" ht="15" hidden="false" customHeight="false" outlineLevel="0" collapsed="false">
      <c r="A66" s="21"/>
      <c r="B66" s="22"/>
      <c r="C66" s="22"/>
      <c r="D66" s="23"/>
      <c r="E66" s="20" t="str">
        <f aca="false">IF($A66="","",IF($C66="Borç",-$D66,$D66))</f>
        <v/>
      </c>
      <c r="F66" s="18" t="str">
        <f aca="false">IF($A66="","",IFERROR(IF(INDEX(tblOrtak[Ortak Adı],ROW($A66)-ROW(tblOrtak[[#Headers],[Tarih]])-1)=$B66,INDEX(tblOrtak[Bakiye (₺)],ROW($A66)-ROW(tblOrtak[[#Headers],[Tarih]])-1)+$E66,$E66),$E66))</f>
        <v/>
      </c>
      <c r="G66" s="19" t="str">
        <f aca="false">IF($A66="","",IFERROR(IF(INDEX(tblOrtak[Tarih],ROW($A66)-ROW(tblOrtak[[#Headers],[Tarih]])+1)=0,RaporTarihi,INDEX(tblOrtak[Tarih],ROW($A66)-ROW(tblOrtak[[#Headers],[Tarih]])+1))-$A66,RaporTarihi-$A66))</f>
        <v/>
      </c>
      <c r="H66" s="18" t="n">
        <f aca="false">IF($F66="",0,ROUND($F66*$G66,0))</f>
        <v>0</v>
      </c>
      <c r="I66" s="18" t="n">
        <f aca="false">IF($H66="",0,ROUND($H66*AdatFaizOran/AdatYilGunSayisi,2))</f>
        <v>0</v>
      </c>
      <c r="J66" s="22"/>
    </row>
    <row r="67" customFormat="false" ht="15" hidden="false" customHeight="false" outlineLevel="0" collapsed="false">
      <c r="A67" s="21"/>
      <c r="B67" s="22"/>
      <c r="C67" s="22"/>
      <c r="D67" s="23"/>
      <c r="E67" s="20" t="str">
        <f aca="false">IF($A67="","",IF($C67="Borç",-$D67,$D67))</f>
        <v/>
      </c>
      <c r="F67" s="18" t="str">
        <f aca="false">IF($A67="","",IFERROR(IF(INDEX(tblOrtak[Ortak Adı],ROW($A67)-ROW(tblOrtak[[#Headers],[Tarih]])-1)=$B67,INDEX(tblOrtak[Bakiye (₺)],ROW($A67)-ROW(tblOrtak[[#Headers],[Tarih]])-1)+$E67,$E67),$E67))</f>
        <v/>
      </c>
      <c r="G67" s="19" t="str">
        <f aca="false">IF($A67="","",IFERROR(IF(INDEX(tblOrtak[Tarih],ROW($A67)-ROW(tblOrtak[[#Headers],[Tarih]])+1)=0,RaporTarihi,INDEX(tblOrtak[Tarih],ROW($A67)-ROW(tblOrtak[[#Headers],[Tarih]])+1))-$A67,RaporTarihi-$A67))</f>
        <v/>
      </c>
      <c r="H67" s="18" t="n">
        <f aca="false">IF($F67="",0,ROUND($F67*$G67,0))</f>
        <v>0</v>
      </c>
      <c r="I67" s="18" t="n">
        <f aca="false">IF($H67="",0,ROUND($H67*AdatFaizOran/AdatYilGunSayisi,2))</f>
        <v>0</v>
      </c>
      <c r="J67" s="22"/>
    </row>
    <row r="68" customFormat="false" ht="15" hidden="false" customHeight="false" outlineLevel="0" collapsed="false">
      <c r="A68" s="21"/>
      <c r="B68" s="22"/>
      <c r="C68" s="22"/>
      <c r="D68" s="23"/>
      <c r="E68" s="20" t="str">
        <f aca="false">IF($A68="","",IF($C68="Borç",-$D68,$D68))</f>
        <v/>
      </c>
      <c r="F68" s="18" t="str">
        <f aca="false">IF($A68="","",IFERROR(IF(INDEX(tblOrtak[Ortak Adı],ROW($A68)-ROW(tblOrtak[[#Headers],[Tarih]])-1)=$B68,INDEX(tblOrtak[Bakiye (₺)],ROW($A68)-ROW(tblOrtak[[#Headers],[Tarih]])-1)+$E68,$E68),$E68))</f>
        <v/>
      </c>
      <c r="G68" s="19" t="str">
        <f aca="false">IF($A68="","",IFERROR(IF(INDEX(tblOrtak[Tarih],ROW($A68)-ROW(tblOrtak[[#Headers],[Tarih]])+1)=0,RaporTarihi,INDEX(tblOrtak[Tarih],ROW($A68)-ROW(tblOrtak[[#Headers],[Tarih]])+1))-$A68,RaporTarihi-$A68))</f>
        <v/>
      </c>
      <c r="H68" s="18" t="n">
        <f aca="false">IF($F68="",0,ROUND($F68*$G68,0))</f>
        <v>0</v>
      </c>
      <c r="I68" s="18" t="n">
        <f aca="false">IF($H68="",0,ROUND($H68*AdatFaizOran/AdatYilGunSayisi,2))</f>
        <v>0</v>
      </c>
      <c r="J68" s="22"/>
    </row>
    <row r="69" customFormat="false" ht="15" hidden="false" customHeight="false" outlineLevel="0" collapsed="false">
      <c r="A69" s="21"/>
      <c r="B69" s="22"/>
      <c r="C69" s="22"/>
      <c r="D69" s="23"/>
      <c r="E69" s="20" t="str">
        <f aca="false">IF($A69="","",IF($C69="Borç",-$D69,$D69))</f>
        <v/>
      </c>
      <c r="F69" s="18" t="str">
        <f aca="false">IF($A69="","",IFERROR(IF(INDEX(tblOrtak[Ortak Adı],ROW($A69)-ROW(tblOrtak[[#Headers],[Tarih]])-1)=$B69,INDEX(tblOrtak[Bakiye (₺)],ROW($A69)-ROW(tblOrtak[[#Headers],[Tarih]])-1)+$E69,$E69),$E69))</f>
        <v/>
      </c>
      <c r="G69" s="19" t="str">
        <f aca="false">IF($A69="","",IFERROR(IF(INDEX(tblOrtak[Tarih],ROW($A69)-ROW(tblOrtak[[#Headers],[Tarih]])+1)=0,RaporTarihi,INDEX(tblOrtak[Tarih],ROW($A69)-ROW(tblOrtak[[#Headers],[Tarih]])+1))-$A69,RaporTarihi-$A69))</f>
        <v/>
      </c>
      <c r="H69" s="18" t="n">
        <f aca="false">IF($F69="",0,ROUND($F69*$G69,0))</f>
        <v>0</v>
      </c>
      <c r="I69" s="18" t="n">
        <f aca="false">IF($H69="",0,ROUND($H69*AdatFaizOran/AdatYilGunSayisi,2))</f>
        <v>0</v>
      </c>
      <c r="J69" s="22"/>
    </row>
    <row r="70" customFormat="false" ht="15" hidden="false" customHeight="false" outlineLevel="0" collapsed="false">
      <c r="A70" s="21"/>
      <c r="B70" s="22"/>
      <c r="C70" s="22"/>
      <c r="D70" s="23"/>
      <c r="E70" s="20" t="str">
        <f aca="false">IF($A70="","",IF($C70="Borç",-$D70,$D70))</f>
        <v/>
      </c>
      <c r="F70" s="18" t="str">
        <f aca="false">IF($A70="","",IFERROR(IF(INDEX(tblOrtak[Ortak Adı],ROW($A70)-ROW(tblOrtak[[#Headers],[Tarih]])-1)=$B70,INDEX(tblOrtak[Bakiye (₺)],ROW($A70)-ROW(tblOrtak[[#Headers],[Tarih]])-1)+$E70,$E70),$E70))</f>
        <v/>
      </c>
      <c r="G70" s="19" t="str">
        <f aca="false">IF($A70="","",IFERROR(IF(INDEX(tblOrtak[Tarih],ROW($A70)-ROW(tblOrtak[[#Headers],[Tarih]])+1)=0,RaporTarihi,INDEX(tblOrtak[Tarih],ROW($A70)-ROW(tblOrtak[[#Headers],[Tarih]])+1))-$A70,RaporTarihi-$A70))</f>
        <v/>
      </c>
      <c r="H70" s="18" t="n">
        <f aca="false">IF($F70="",0,ROUND($F70*$G70,0))</f>
        <v>0</v>
      </c>
      <c r="I70" s="18" t="n">
        <f aca="false">IF($H70="",0,ROUND($H70*AdatFaizOran/AdatYilGunSayisi,2))</f>
        <v>0</v>
      </c>
      <c r="J70" s="22"/>
    </row>
    <row r="71" customFormat="false" ht="15" hidden="false" customHeight="false" outlineLevel="0" collapsed="false">
      <c r="A71" s="21"/>
      <c r="B71" s="22"/>
      <c r="C71" s="22"/>
      <c r="D71" s="23"/>
      <c r="E71" s="20" t="str">
        <f aca="false">IF($A71="","",IF($C71="Borç",-$D71,$D71))</f>
        <v/>
      </c>
      <c r="F71" s="18" t="str">
        <f aca="false">IF($A71="","",IFERROR(IF(INDEX(tblOrtak[Ortak Adı],ROW($A71)-ROW(tblOrtak[[#Headers],[Tarih]])-1)=$B71,INDEX(tblOrtak[Bakiye (₺)],ROW($A71)-ROW(tblOrtak[[#Headers],[Tarih]])-1)+$E71,$E71),$E71))</f>
        <v/>
      </c>
      <c r="G71" s="19" t="str">
        <f aca="false">IF($A71="","",IFERROR(IF(INDEX(tblOrtak[Tarih],ROW($A71)-ROW(tblOrtak[[#Headers],[Tarih]])+1)=0,RaporTarihi,INDEX(tblOrtak[Tarih],ROW($A71)-ROW(tblOrtak[[#Headers],[Tarih]])+1))-$A71,RaporTarihi-$A71))</f>
        <v/>
      </c>
      <c r="H71" s="18" t="n">
        <f aca="false">IF($F71="",0,ROUND($F71*$G71,0))</f>
        <v>0</v>
      </c>
      <c r="I71" s="18" t="n">
        <f aca="false">IF($H71="",0,ROUND($H71*AdatFaizOran/AdatYilGunSayisi,2))</f>
        <v>0</v>
      </c>
      <c r="J71" s="22"/>
    </row>
    <row r="72" customFormat="false" ht="15" hidden="false" customHeight="false" outlineLevel="0" collapsed="false">
      <c r="A72" s="21"/>
      <c r="B72" s="22"/>
      <c r="C72" s="22"/>
      <c r="D72" s="23"/>
      <c r="E72" s="20" t="str">
        <f aca="false">IF($A72="","",IF($C72="Borç",-$D72,$D72))</f>
        <v/>
      </c>
      <c r="F72" s="18" t="str">
        <f aca="false">IF($A72="","",IFERROR(IF(INDEX(tblOrtak[Ortak Adı],ROW($A72)-ROW(tblOrtak[[#Headers],[Tarih]])-1)=$B72,INDEX(tblOrtak[Bakiye (₺)],ROW($A72)-ROW(tblOrtak[[#Headers],[Tarih]])-1)+$E72,$E72),$E72))</f>
        <v/>
      </c>
      <c r="G72" s="19" t="str">
        <f aca="false">IF($A72="","",IFERROR(IF(INDEX(tblOrtak[Tarih],ROW($A72)-ROW(tblOrtak[[#Headers],[Tarih]])+1)=0,RaporTarihi,INDEX(tblOrtak[Tarih],ROW($A72)-ROW(tblOrtak[[#Headers],[Tarih]])+1))-$A72,RaporTarihi-$A72))</f>
        <v/>
      </c>
      <c r="H72" s="18" t="n">
        <f aca="false">IF($F72="",0,ROUND($F72*$G72,0))</f>
        <v>0</v>
      </c>
      <c r="I72" s="18" t="n">
        <f aca="false">IF($H72="",0,ROUND($H72*AdatFaizOran/AdatYilGunSayisi,2))</f>
        <v>0</v>
      </c>
      <c r="J72" s="22"/>
    </row>
    <row r="73" customFormat="false" ht="15" hidden="false" customHeight="false" outlineLevel="0" collapsed="false">
      <c r="A73" s="21"/>
      <c r="B73" s="22"/>
      <c r="C73" s="22"/>
      <c r="D73" s="23"/>
      <c r="E73" s="20" t="str">
        <f aca="false">IF($A73="","",IF($C73="Borç",-$D73,$D73))</f>
        <v/>
      </c>
      <c r="F73" s="18" t="str">
        <f aca="false">IF($A73="","",IFERROR(IF(INDEX(tblOrtak[Ortak Adı],ROW($A73)-ROW(tblOrtak[[#Headers],[Tarih]])-1)=$B73,INDEX(tblOrtak[Bakiye (₺)],ROW($A73)-ROW(tblOrtak[[#Headers],[Tarih]])-1)+$E73,$E73),$E73))</f>
        <v/>
      </c>
      <c r="G73" s="19" t="str">
        <f aca="false">IF($A73="","",IFERROR(IF(INDEX(tblOrtak[Tarih],ROW($A73)-ROW(tblOrtak[[#Headers],[Tarih]])+1)=0,RaporTarihi,INDEX(tblOrtak[Tarih],ROW($A73)-ROW(tblOrtak[[#Headers],[Tarih]])+1))-$A73,RaporTarihi-$A73))</f>
        <v/>
      </c>
      <c r="H73" s="18" t="n">
        <f aca="false">IF($F73="",0,ROUND($F73*$G73,0))</f>
        <v>0</v>
      </c>
      <c r="I73" s="18" t="n">
        <f aca="false">IF($H73="",0,ROUND($H73*AdatFaizOran/AdatYilGunSayisi,2))</f>
        <v>0</v>
      </c>
      <c r="J73" s="22"/>
    </row>
    <row r="74" customFormat="false" ht="15" hidden="false" customHeight="false" outlineLevel="0" collapsed="false">
      <c r="A74" s="21"/>
      <c r="B74" s="22"/>
      <c r="C74" s="22"/>
      <c r="D74" s="23"/>
      <c r="E74" s="20" t="str">
        <f aca="false">IF($A74="","",IF($C74="Borç",-$D74,$D74))</f>
        <v/>
      </c>
      <c r="F74" s="18" t="str">
        <f aca="false">IF($A74="","",IFERROR(IF(INDEX(tblOrtak[Ortak Adı],ROW($A74)-ROW(tblOrtak[[#Headers],[Tarih]])-1)=$B74,INDEX(tblOrtak[Bakiye (₺)],ROW($A74)-ROW(tblOrtak[[#Headers],[Tarih]])-1)+$E74,$E74),$E74))</f>
        <v/>
      </c>
      <c r="G74" s="19" t="str">
        <f aca="false">IF($A74="","",IFERROR(IF(INDEX(tblOrtak[Tarih],ROW($A74)-ROW(tblOrtak[[#Headers],[Tarih]])+1)=0,RaporTarihi,INDEX(tblOrtak[Tarih],ROW($A74)-ROW(tblOrtak[[#Headers],[Tarih]])+1))-$A74,RaporTarihi-$A74))</f>
        <v/>
      </c>
      <c r="H74" s="18" t="n">
        <f aca="false">IF($F74="",0,ROUND($F74*$G74,0))</f>
        <v>0</v>
      </c>
      <c r="I74" s="18" t="n">
        <f aca="false">IF($H74="",0,ROUND($H74*AdatFaizOran/AdatYilGunSayisi,2))</f>
        <v>0</v>
      </c>
      <c r="J74" s="22"/>
    </row>
    <row r="75" customFormat="false" ht="15" hidden="false" customHeight="false" outlineLevel="0" collapsed="false">
      <c r="A75" s="21"/>
      <c r="B75" s="22"/>
      <c r="C75" s="22"/>
      <c r="D75" s="23"/>
      <c r="E75" s="20" t="str">
        <f aca="false">IF($A75="","",IF($C75="Borç",-$D75,$D75))</f>
        <v/>
      </c>
      <c r="F75" s="18" t="str">
        <f aca="false">IF($A75="","",IFERROR(IF(INDEX(tblOrtak[Ortak Adı],ROW($A75)-ROW(tblOrtak[[#Headers],[Tarih]])-1)=$B75,INDEX(tblOrtak[Bakiye (₺)],ROW($A75)-ROW(tblOrtak[[#Headers],[Tarih]])-1)+$E75,$E75),$E75))</f>
        <v/>
      </c>
      <c r="G75" s="19" t="str">
        <f aca="false">IF($A75="","",IFERROR(IF(INDEX(tblOrtak[Tarih],ROW($A75)-ROW(tblOrtak[[#Headers],[Tarih]])+1)=0,RaporTarihi,INDEX(tblOrtak[Tarih],ROW($A75)-ROW(tblOrtak[[#Headers],[Tarih]])+1))-$A75,RaporTarihi-$A75))</f>
        <v/>
      </c>
      <c r="H75" s="18" t="n">
        <f aca="false">IF($F75="",0,ROUND($F75*$G75,0))</f>
        <v>0</v>
      </c>
      <c r="I75" s="18" t="n">
        <f aca="false">IF($H75="",0,ROUND($H75*AdatFaizOran/AdatYilGunSayisi,2))</f>
        <v>0</v>
      </c>
      <c r="J75" s="22"/>
    </row>
    <row r="76" customFormat="false" ht="15" hidden="false" customHeight="false" outlineLevel="0" collapsed="false">
      <c r="A76" s="21"/>
      <c r="B76" s="22"/>
      <c r="C76" s="22"/>
      <c r="D76" s="23"/>
      <c r="E76" s="20" t="str">
        <f aca="false">IF($A76="","",IF($C76="Borç",-$D76,$D76))</f>
        <v/>
      </c>
      <c r="F76" s="18" t="str">
        <f aca="false">IF($A76="","",IFERROR(IF(INDEX(tblOrtak[Ortak Adı],ROW($A76)-ROW(tblOrtak[[#Headers],[Tarih]])-1)=$B76,INDEX(tblOrtak[Bakiye (₺)],ROW($A76)-ROW(tblOrtak[[#Headers],[Tarih]])-1)+$E76,$E76),$E76))</f>
        <v/>
      </c>
      <c r="G76" s="19" t="str">
        <f aca="false">IF($A76="","",IFERROR(IF(INDEX(tblOrtak[Tarih],ROW($A76)-ROW(tblOrtak[[#Headers],[Tarih]])+1)=0,RaporTarihi,INDEX(tblOrtak[Tarih],ROW($A76)-ROW(tblOrtak[[#Headers],[Tarih]])+1))-$A76,RaporTarihi-$A76))</f>
        <v/>
      </c>
      <c r="H76" s="18" t="n">
        <f aca="false">IF($F76="",0,ROUND($F76*$G76,0))</f>
        <v>0</v>
      </c>
      <c r="I76" s="18" t="n">
        <f aca="false">IF($H76="",0,ROUND($H76*AdatFaizOran/AdatYilGunSayisi,2))</f>
        <v>0</v>
      </c>
      <c r="J76" s="22"/>
    </row>
    <row r="77" customFormat="false" ht="15" hidden="false" customHeight="false" outlineLevel="0" collapsed="false">
      <c r="A77" s="21"/>
      <c r="B77" s="22"/>
      <c r="C77" s="22"/>
      <c r="D77" s="23"/>
      <c r="E77" s="20" t="str">
        <f aca="false">IF($A77="","",IF($C77="Borç",-$D77,$D77))</f>
        <v/>
      </c>
      <c r="F77" s="18" t="str">
        <f aca="false">IF($A77="","",IFERROR(IF(INDEX(tblOrtak[Ortak Adı],ROW($A77)-ROW(tblOrtak[[#Headers],[Tarih]])-1)=$B77,INDEX(tblOrtak[Bakiye (₺)],ROW($A77)-ROW(tblOrtak[[#Headers],[Tarih]])-1)+$E77,$E77),$E77))</f>
        <v/>
      </c>
      <c r="G77" s="19" t="str">
        <f aca="false">IF($A77="","",IFERROR(IF(INDEX(tblOrtak[Tarih],ROW($A77)-ROW(tblOrtak[[#Headers],[Tarih]])+1)=0,RaporTarihi,INDEX(tblOrtak[Tarih],ROW($A77)-ROW(tblOrtak[[#Headers],[Tarih]])+1))-$A77,RaporTarihi-$A77))</f>
        <v/>
      </c>
      <c r="H77" s="18" t="n">
        <f aca="false">IF($F77="",0,ROUND($F77*$G77,0))</f>
        <v>0</v>
      </c>
      <c r="I77" s="18" t="n">
        <f aca="false">IF($H77="",0,ROUND($H77*AdatFaizOran/AdatYilGunSayisi,2))</f>
        <v>0</v>
      </c>
      <c r="J77" s="22"/>
    </row>
    <row r="78" customFormat="false" ht="15" hidden="false" customHeight="false" outlineLevel="0" collapsed="false">
      <c r="A78" s="21"/>
      <c r="B78" s="22"/>
      <c r="C78" s="22"/>
      <c r="D78" s="23"/>
      <c r="E78" s="20" t="str">
        <f aca="false">IF($A78="","",IF($C78="Borç",-$D78,$D78))</f>
        <v/>
      </c>
      <c r="F78" s="18" t="str">
        <f aca="false">IF($A78="","",IFERROR(IF(INDEX(tblOrtak[Ortak Adı],ROW($A78)-ROW(tblOrtak[[#Headers],[Tarih]])-1)=$B78,INDEX(tblOrtak[Bakiye (₺)],ROW($A78)-ROW(tblOrtak[[#Headers],[Tarih]])-1)+$E78,$E78),$E78))</f>
        <v/>
      </c>
      <c r="G78" s="19" t="str">
        <f aca="false">IF($A78="","",IFERROR(IF(INDEX(tblOrtak[Tarih],ROW($A78)-ROW(tblOrtak[[#Headers],[Tarih]])+1)=0,RaporTarihi,INDEX(tblOrtak[Tarih],ROW($A78)-ROW(tblOrtak[[#Headers],[Tarih]])+1))-$A78,RaporTarihi-$A78))</f>
        <v/>
      </c>
      <c r="H78" s="18" t="n">
        <f aca="false">IF($F78="",0,ROUND($F78*$G78,0))</f>
        <v>0</v>
      </c>
      <c r="I78" s="18" t="n">
        <f aca="false">IF($H78="",0,ROUND($H78*AdatFaizOran/AdatYilGunSayisi,2))</f>
        <v>0</v>
      </c>
      <c r="J78" s="22"/>
    </row>
    <row r="79" customFormat="false" ht="15" hidden="false" customHeight="false" outlineLevel="0" collapsed="false">
      <c r="A79" s="21"/>
      <c r="B79" s="22"/>
      <c r="C79" s="22"/>
      <c r="D79" s="23"/>
      <c r="E79" s="20" t="str">
        <f aca="false">IF($A79="","",IF($C79="Borç",-$D79,$D79))</f>
        <v/>
      </c>
      <c r="F79" s="18" t="str">
        <f aca="false">IF($A79="","",IFERROR(IF(INDEX(tblOrtak[Ortak Adı],ROW($A79)-ROW(tblOrtak[[#Headers],[Tarih]])-1)=$B79,INDEX(tblOrtak[Bakiye (₺)],ROW($A79)-ROW(tblOrtak[[#Headers],[Tarih]])-1)+$E79,$E79),$E79))</f>
        <v/>
      </c>
      <c r="G79" s="19" t="str">
        <f aca="false">IF($A79="","",IFERROR(IF(INDEX(tblOrtak[Tarih],ROW($A79)-ROW(tblOrtak[[#Headers],[Tarih]])+1)=0,RaporTarihi,INDEX(tblOrtak[Tarih],ROW($A79)-ROW(tblOrtak[[#Headers],[Tarih]])+1))-$A79,RaporTarihi-$A79))</f>
        <v/>
      </c>
      <c r="H79" s="18" t="n">
        <f aca="false">IF($F79="",0,ROUND($F79*$G79,0))</f>
        <v>0</v>
      </c>
      <c r="I79" s="18" t="n">
        <f aca="false">IF($H79="",0,ROUND($H79*AdatFaizOran/AdatYilGunSayisi,2))</f>
        <v>0</v>
      </c>
      <c r="J79" s="22"/>
    </row>
    <row r="80" customFormat="false" ht="15" hidden="false" customHeight="false" outlineLevel="0" collapsed="false">
      <c r="A80" s="21"/>
      <c r="B80" s="22"/>
      <c r="C80" s="22"/>
      <c r="D80" s="23"/>
      <c r="E80" s="20" t="str">
        <f aca="false">IF($A80="","",IF($C80="Borç",-$D80,$D80))</f>
        <v/>
      </c>
      <c r="F80" s="18" t="str">
        <f aca="false">IF($A80="","",IFERROR(IF(INDEX(tblOrtak[Ortak Adı],ROW($A80)-ROW(tblOrtak[[#Headers],[Tarih]])-1)=$B80,INDEX(tblOrtak[Bakiye (₺)],ROW($A80)-ROW(tblOrtak[[#Headers],[Tarih]])-1)+$E80,$E80),$E80))</f>
        <v/>
      </c>
      <c r="G80" s="19" t="str">
        <f aca="false">IF($A80="","",IFERROR(IF(INDEX(tblOrtak[Tarih],ROW($A80)-ROW(tblOrtak[[#Headers],[Tarih]])+1)=0,RaporTarihi,INDEX(tblOrtak[Tarih],ROW($A80)-ROW(tblOrtak[[#Headers],[Tarih]])+1))-$A80,RaporTarihi-$A80))</f>
        <v/>
      </c>
      <c r="H80" s="18" t="n">
        <f aca="false">IF($F80="",0,ROUND($F80*$G80,0))</f>
        <v>0</v>
      </c>
      <c r="I80" s="18" t="n">
        <f aca="false">IF($H80="",0,ROUND($H80*AdatFaizOran/AdatYilGunSayisi,2))</f>
        <v>0</v>
      </c>
      <c r="J80" s="22"/>
    </row>
    <row r="81" customFormat="false" ht="15" hidden="false" customHeight="false" outlineLevel="0" collapsed="false">
      <c r="A81" s="21"/>
      <c r="B81" s="22"/>
      <c r="C81" s="22"/>
      <c r="D81" s="23"/>
      <c r="E81" s="20" t="str">
        <f aca="false">IF($A81="","",IF($C81="Borç",-$D81,$D81))</f>
        <v/>
      </c>
      <c r="F81" s="18" t="str">
        <f aca="false">IF($A81="","",IFERROR(IF(INDEX(tblOrtak[Ortak Adı],ROW($A81)-ROW(tblOrtak[[#Headers],[Tarih]])-1)=$B81,INDEX(tblOrtak[Bakiye (₺)],ROW($A81)-ROW(tblOrtak[[#Headers],[Tarih]])-1)+$E81,$E81),$E81))</f>
        <v/>
      </c>
      <c r="G81" s="19" t="str">
        <f aca="false">IF($A81="","",IFERROR(IF(INDEX(tblOrtak[Tarih],ROW($A81)-ROW(tblOrtak[[#Headers],[Tarih]])+1)=0,RaporTarihi,INDEX(tblOrtak[Tarih],ROW($A81)-ROW(tblOrtak[[#Headers],[Tarih]])+1))-$A81,RaporTarihi-$A81))</f>
        <v/>
      </c>
      <c r="H81" s="18" t="n">
        <f aca="false">IF($F81="",0,ROUND($F81*$G81,0))</f>
        <v>0</v>
      </c>
      <c r="I81" s="18" t="n">
        <f aca="false">IF($H81="",0,ROUND($H81*AdatFaizOran/AdatYilGunSayisi,2))</f>
        <v>0</v>
      </c>
      <c r="J81" s="22"/>
    </row>
    <row r="82" customFormat="false" ht="15" hidden="false" customHeight="false" outlineLevel="0" collapsed="false">
      <c r="A82" s="21"/>
      <c r="B82" s="22"/>
      <c r="C82" s="22"/>
      <c r="D82" s="23"/>
      <c r="E82" s="20" t="str">
        <f aca="false">IF($A82="","",IF($C82="Borç",-$D82,$D82))</f>
        <v/>
      </c>
      <c r="F82" s="18" t="str">
        <f aca="false">IF($A82="","",IFERROR(IF(INDEX(tblOrtak[Ortak Adı],ROW($A82)-ROW(tblOrtak[[#Headers],[Tarih]])-1)=$B82,INDEX(tblOrtak[Bakiye (₺)],ROW($A82)-ROW(tblOrtak[[#Headers],[Tarih]])-1)+$E82,$E82),$E82))</f>
        <v/>
      </c>
      <c r="G82" s="19" t="str">
        <f aca="false">IF($A82="","",IFERROR(IF(INDEX(tblOrtak[Tarih],ROW($A82)-ROW(tblOrtak[[#Headers],[Tarih]])+1)=0,RaporTarihi,INDEX(tblOrtak[Tarih],ROW($A82)-ROW(tblOrtak[[#Headers],[Tarih]])+1))-$A82,RaporTarihi-$A82))</f>
        <v/>
      </c>
      <c r="H82" s="18" t="n">
        <f aca="false">IF($F82="",0,ROUND($F82*$G82,0))</f>
        <v>0</v>
      </c>
      <c r="I82" s="18" t="n">
        <f aca="false">IF($H82="",0,ROUND($H82*AdatFaizOran/AdatYilGunSayisi,2))</f>
        <v>0</v>
      </c>
      <c r="J82" s="22"/>
    </row>
    <row r="83" customFormat="false" ht="15" hidden="false" customHeight="false" outlineLevel="0" collapsed="false">
      <c r="A83" s="21"/>
      <c r="B83" s="22"/>
      <c r="C83" s="22"/>
      <c r="D83" s="23"/>
      <c r="E83" s="20" t="str">
        <f aca="false">IF($A83="","",IF($C83="Borç",-$D83,$D83))</f>
        <v/>
      </c>
      <c r="F83" s="18" t="str">
        <f aca="false">IF($A83="","",IFERROR(IF(INDEX(tblOrtak[Ortak Adı],ROW($A83)-ROW(tblOrtak[[#Headers],[Tarih]])-1)=$B83,INDEX(tblOrtak[Bakiye (₺)],ROW($A83)-ROW(tblOrtak[[#Headers],[Tarih]])-1)+$E83,$E83),$E83))</f>
        <v/>
      </c>
      <c r="G83" s="19" t="str">
        <f aca="false">IF($A83="","",IFERROR(IF(INDEX(tblOrtak[Tarih],ROW($A83)-ROW(tblOrtak[[#Headers],[Tarih]])+1)=0,RaporTarihi,INDEX(tblOrtak[Tarih],ROW($A83)-ROW(tblOrtak[[#Headers],[Tarih]])+1))-$A83,RaporTarihi-$A83))</f>
        <v/>
      </c>
      <c r="H83" s="18" t="n">
        <f aca="false">IF($F83="",0,ROUND($F83*$G83,0))</f>
        <v>0</v>
      </c>
      <c r="I83" s="18" t="n">
        <f aca="false">IF($H83="",0,ROUND($H83*AdatFaizOran/AdatYilGunSayisi,2))</f>
        <v>0</v>
      </c>
      <c r="J83" s="22"/>
    </row>
    <row r="84" customFormat="false" ht="15" hidden="false" customHeight="false" outlineLevel="0" collapsed="false">
      <c r="A84" s="21"/>
      <c r="B84" s="22"/>
      <c r="C84" s="22"/>
      <c r="D84" s="23"/>
      <c r="E84" s="20" t="str">
        <f aca="false">IF($A84="","",IF($C84="Borç",-$D84,$D84))</f>
        <v/>
      </c>
      <c r="F84" s="18" t="str">
        <f aca="false">IF($A84="","",IFERROR(IF(INDEX(tblOrtak[Ortak Adı],ROW($A84)-ROW(tblOrtak[[#Headers],[Tarih]])-1)=$B84,INDEX(tblOrtak[Bakiye (₺)],ROW($A84)-ROW(tblOrtak[[#Headers],[Tarih]])-1)+$E84,$E84),$E84))</f>
        <v/>
      </c>
      <c r="G84" s="19" t="str">
        <f aca="false">IF($A84="","",IFERROR(IF(INDEX(tblOrtak[Tarih],ROW($A84)-ROW(tblOrtak[[#Headers],[Tarih]])+1)=0,RaporTarihi,INDEX(tblOrtak[Tarih],ROW($A84)-ROW(tblOrtak[[#Headers],[Tarih]])+1))-$A84,RaporTarihi-$A84))</f>
        <v/>
      </c>
      <c r="H84" s="18" t="n">
        <f aca="false">IF($F84="",0,ROUND($F84*$G84,0))</f>
        <v>0</v>
      </c>
      <c r="I84" s="18" t="n">
        <f aca="false">IF($H84="",0,ROUND($H84*AdatFaizOran/AdatYilGunSayisi,2))</f>
        <v>0</v>
      </c>
      <c r="J84" s="22"/>
    </row>
    <row r="85" customFormat="false" ht="15" hidden="false" customHeight="false" outlineLevel="0" collapsed="false">
      <c r="A85" s="21"/>
      <c r="B85" s="22"/>
      <c r="C85" s="22"/>
      <c r="D85" s="23"/>
      <c r="E85" s="20" t="str">
        <f aca="false">IF($A85="","",IF($C85="Borç",-$D85,$D85))</f>
        <v/>
      </c>
      <c r="F85" s="18" t="str">
        <f aca="false">IF($A85="","",IFERROR(IF(INDEX(tblOrtak[Ortak Adı],ROW($A85)-ROW(tblOrtak[[#Headers],[Tarih]])-1)=$B85,INDEX(tblOrtak[Bakiye (₺)],ROW($A85)-ROW(tblOrtak[[#Headers],[Tarih]])-1)+$E85,$E85),$E85))</f>
        <v/>
      </c>
      <c r="G85" s="19" t="str">
        <f aca="false">IF($A85="","",IFERROR(IF(INDEX(tblOrtak[Tarih],ROW($A85)-ROW(tblOrtak[[#Headers],[Tarih]])+1)=0,RaporTarihi,INDEX(tblOrtak[Tarih],ROW($A85)-ROW(tblOrtak[[#Headers],[Tarih]])+1))-$A85,RaporTarihi-$A85))</f>
        <v/>
      </c>
      <c r="H85" s="18" t="n">
        <f aca="false">IF($F85="",0,ROUND($F85*$G85,0))</f>
        <v>0</v>
      </c>
      <c r="I85" s="18" t="n">
        <f aca="false">IF($H85="",0,ROUND($H85*AdatFaizOran/AdatYilGunSayisi,2))</f>
        <v>0</v>
      </c>
      <c r="J85" s="22"/>
    </row>
    <row r="86" customFormat="false" ht="15" hidden="false" customHeight="false" outlineLevel="0" collapsed="false">
      <c r="A86" s="21"/>
      <c r="B86" s="22"/>
      <c r="C86" s="22"/>
      <c r="D86" s="23"/>
      <c r="E86" s="20" t="str">
        <f aca="false">IF($A86="","",IF($C86="Borç",-$D86,$D86))</f>
        <v/>
      </c>
      <c r="F86" s="18" t="str">
        <f aca="false">IF($A86="","",IFERROR(IF(INDEX(tblOrtak[Ortak Adı],ROW($A86)-ROW(tblOrtak[[#Headers],[Tarih]])-1)=$B86,INDEX(tblOrtak[Bakiye (₺)],ROW($A86)-ROW(tblOrtak[[#Headers],[Tarih]])-1)+$E86,$E86),$E86))</f>
        <v/>
      </c>
      <c r="G86" s="19" t="str">
        <f aca="false">IF($A86="","",IFERROR(IF(INDEX(tblOrtak[Tarih],ROW($A86)-ROW(tblOrtak[[#Headers],[Tarih]])+1)=0,RaporTarihi,INDEX(tblOrtak[Tarih],ROW($A86)-ROW(tblOrtak[[#Headers],[Tarih]])+1))-$A86,RaporTarihi-$A86))</f>
        <v/>
      </c>
      <c r="H86" s="18" t="n">
        <f aca="false">IF($F86="",0,ROUND($F86*$G86,0))</f>
        <v>0</v>
      </c>
      <c r="I86" s="18" t="n">
        <f aca="false">IF($H86="",0,ROUND($H86*AdatFaizOran/AdatYilGunSayisi,2))</f>
        <v>0</v>
      </c>
      <c r="J86" s="22"/>
    </row>
    <row r="87" customFormat="false" ht="15" hidden="false" customHeight="false" outlineLevel="0" collapsed="false">
      <c r="A87" s="21"/>
      <c r="B87" s="22"/>
      <c r="C87" s="22"/>
      <c r="D87" s="23"/>
      <c r="E87" s="20" t="str">
        <f aca="false">IF($A87="","",IF($C87="Borç",-$D87,$D87))</f>
        <v/>
      </c>
      <c r="F87" s="18" t="str">
        <f aca="false">IF($A87="","",IFERROR(IF(INDEX(tblOrtak[Ortak Adı],ROW($A87)-ROW(tblOrtak[[#Headers],[Tarih]])-1)=$B87,INDEX(tblOrtak[Bakiye (₺)],ROW($A87)-ROW(tblOrtak[[#Headers],[Tarih]])-1)+$E87,$E87),$E87))</f>
        <v/>
      </c>
      <c r="G87" s="19" t="str">
        <f aca="false">IF($A87="","",IFERROR(IF(INDEX(tblOrtak[Tarih],ROW($A87)-ROW(tblOrtak[[#Headers],[Tarih]])+1)=0,RaporTarihi,INDEX(tblOrtak[Tarih],ROW($A87)-ROW(tblOrtak[[#Headers],[Tarih]])+1))-$A87,RaporTarihi-$A87))</f>
        <v/>
      </c>
      <c r="H87" s="18" t="n">
        <f aca="false">IF($F87="",0,ROUND($F87*$G87,0))</f>
        <v>0</v>
      </c>
      <c r="I87" s="18" t="n">
        <f aca="false">IF($H87="",0,ROUND($H87*AdatFaizOran/AdatYilGunSayisi,2))</f>
        <v>0</v>
      </c>
      <c r="J87" s="22"/>
    </row>
    <row r="88" customFormat="false" ht="15" hidden="false" customHeight="false" outlineLevel="0" collapsed="false">
      <c r="A88" s="21"/>
      <c r="B88" s="22"/>
      <c r="C88" s="22"/>
      <c r="D88" s="23"/>
      <c r="E88" s="20" t="str">
        <f aca="false">IF($A88="","",IF($C88="Borç",-$D88,$D88))</f>
        <v/>
      </c>
      <c r="F88" s="18" t="str">
        <f aca="false">IF($A88="","",IFERROR(IF(INDEX(tblOrtak[Ortak Adı],ROW($A88)-ROW(tblOrtak[[#Headers],[Tarih]])-1)=$B88,INDEX(tblOrtak[Bakiye (₺)],ROW($A88)-ROW(tblOrtak[[#Headers],[Tarih]])-1)+$E88,$E88),$E88))</f>
        <v/>
      </c>
      <c r="G88" s="19" t="str">
        <f aca="false">IF($A88="","",IFERROR(IF(INDEX(tblOrtak[Tarih],ROW($A88)-ROW(tblOrtak[[#Headers],[Tarih]])+1)=0,RaporTarihi,INDEX(tblOrtak[Tarih],ROW($A88)-ROW(tblOrtak[[#Headers],[Tarih]])+1))-$A88,RaporTarihi-$A88))</f>
        <v/>
      </c>
      <c r="H88" s="18" t="n">
        <f aca="false">IF($F88="",0,ROUND($F88*$G88,0))</f>
        <v>0</v>
      </c>
      <c r="I88" s="18" t="n">
        <f aca="false">IF($H88="",0,ROUND($H88*AdatFaizOran/AdatYilGunSayisi,2))</f>
        <v>0</v>
      </c>
      <c r="J88" s="22"/>
    </row>
    <row r="89" customFormat="false" ht="15" hidden="false" customHeight="false" outlineLevel="0" collapsed="false">
      <c r="A89" s="21"/>
      <c r="B89" s="22"/>
      <c r="C89" s="22"/>
      <c r="D89" s="23"/>
      <c r="E89" s="20" t="str">
        <f aca="false">IF($A89="","",IF($C89="Borç",-$D89,$D89))</f>
        <v/>
      </c>
      <c r="F89" s="18" t="str">
        <f aca="false">IF($A89="","",IFERROR(IF(INDEX(tblOrtak[Ortak Adı],ROW($A89)-ROW(tblOrtak[[#Headers],[Tarih]])-1)=$B89,INDEX(tblOrtak[Bakiye (₺)],ROW($A89)-ROW(tblOrtak[[#Headers],[Tarih]])-1)+$E89,$E89),$E89))</f>
        <v/>
      </c>
      <c r="G89" s="19" t="str">
        <f aca="false">IF($A89="","",IFERROR(IF(INDEX(tblOrtak[Tarih],ROW($A89)-ROW(tblOrtak[[#Headers],[Tarih]])+1)=0,RaporTarihi,INDEX(tblOrtak[Tarih],ROW($A89)-ROW(tblOrtak[[#Headers],[Tarih]])+1))-$A89,RaporTarihi-$A89))</f>
        <v/>
      </c>
      <c r="H89" s="18" t="n">
        <f aca="false">IF($F89="",0,ROUND($F89*$G89,0))</f>
        <v>0</v>
      </c>
      <c r="I89" s="18" t="n">
        <f aca="false">IF($H89="",0,ROUND($H89*AdatFaizOran/AdatYilGunSayisi,2))</f>
        <v>0</v>
      </c>
      <c r="J89" s="22"/>
    </row>
    <row r="90" customFormat="false" ht="15" hidden="false" customHeight="false" outlineLevel="0" collapsed="false">
      <c r="A90" s="21"/>
      <c r="B90" s="22"/>
      <c r="C90" s="22"/>
      <c r="D90" s="23"/>
      <c r="E90" s="20" t="str">
        <f aca="false">IF($A90="","",IF($C90="Borç",-$D90,$D90))</f>
        <v/>
      </c>
      <c r="F90" s="18" t="str">
        <f aca="false">IF($A90="","",IFERROR(IF(INDEX(tblOrtak[Ortak Adı],ROW($A90)-ROW(tblOrtak[[#Headers],[Tarih]])-1)=$B90,INDEX(tblOrtak[Bakiye (₺)],ROW($A90)-ROW(tblOrtak[[#Headers],[Tarih]])-1)+$E90,$E90),$E90))</f>
        <v/>
      </c>
      <c r="G90" s="19" t="str">
        <f aca="false">IF($A90="","",IFERROR(IF(INDEX(tblOrtak[Tarih],ROW($A90)-ROW(tblOrtak[[#Headers],[Tarih]])+1)=0,RaporTarihi,INDEX(tblOrtak[Tarih],ROW($A90)-ROW(tblOrtak[[#Headers],[Tarih]])+1))-$A90,RaporTarihi-$A90))</f>
        <v/>
      </c>
      <c r="H90" s="18" t="n">
        <f aca="false">IF($F90="",0,ROUND($F90*$G90,0))</f>
        <v>0</v>
      </c>
      <c r="I90" s="18" t="n">
        <f aca="false">IF($H90="",0,ROUND($H90*AdatFaizOran/AdatYilGunSayisi,2))</f>
        <v>0</v>
      </c>
      <c r="J90" s="22"/>
    </row>
    <row r="91" customFormat="false" ht="15" hidden="false" customHeight="false" outlineLevel="0" collapsed="false">
      <c r="A91" s="21"/>
      <c r="B91" s="22"/>
      <c r="C91" s="22"/>
      <c r="D91" s="23"/>
      <c r="E91" s="20" t="str">
        <f aca="false">IF($A91="","",IF($C91="Borç",-$D91,$D91))</f>
        <v/>
      </c>
      <c r="F91" s="18" t="str">
        <f aca="false">IF($A91="","",IFERROR(IF(INDEX(tblOrtak[Ortak Adı],ROW($A91)-ROW(tblOrtak[[#Headers],[Tarih]])-1)=$B91,INDEX(tblOrtak[Bakiye (₺)],ROW($A91)-ROW(tblOrtak[[#Headers],[Tarih]])-1)+$E91,$E91),$E91))</f>
        <v/>
      </c>
      <c r="G91" s="19" t="str">
        <f aca="false">IF($A91="","",IFERROR(IF(INDEX(tblOrtak[Tarih],ROW($A91)-ROW(tblOrtak[[#Headers],[Tarih]])+1)=0,RaporTarihi,INDEX(tblOrtak[Tarih],ROW($A91)-ROW(tblOrtak[[#Headers],[Tarih]])+1))-$A91,RaporTarihi-$A91))</f>
        <v/>
      </c>
      <c r="H91" s="18" t="n">
        <f aca="false">IF($F91="",0,ROUND($F91*$G91,0))</f>
        <v>0</v>
      </c>
      <c r="I91" s="18" t="n">
        <f aca="false">IF($H91="",0,ROUND($H91*AdatFaizOran/AdatYilGunSayisi,2))</f>
        <v>0</v>
      </c>
      <c r="J91" s="22"/>
    </row>
    <row r="92" customFormat="false" ht="15" hidden="false" customHeight="false" outlineLevel="0" collapsed="false">
      <c r="A92" s="21"/>
      <c r="B92" s="22"/>
      <c r="C92" s="22"/>
      <c r="D92" s="23"/>
      <c r="E92" s="20" t="str">
        <f aca="false">IF($A92="","",IF($C92="Borç",-$D92,$D92))</f>
        <v/>
      </c>
      <c r="F92" s="18" t="str">
        <f aca="false">IF($A92="","",IFERROR(IF(INDEX(tblOrtak[Ortak Adı],ROW($A92)-ROW(tblOrtak[[#Headers],[Tarih]])-1)=$B92,INDEX(tblOrtak[Bakiye (₺)],ROW($A92)-ROW(tblOrtak[[#Headers],[Tarih]])-1)+$E92,$E92),$E92))</f>
        <v/>
      </c>
      <c r="G92" s="19" t="str">
        <f aca="false">IF($A92="","",IFERROR(IF(INDEX(tblOrtak[Tarih],ROW($A92)-ROW(tblOrtak[[#Headers],[Tarih]])+1)=0,RaporTarihi,INDEX(tblOrtak[Tarih],ROW($A92)-ROW(tblOrtak[[#Headers],[Tarih]])+1))-$A92,RaporTarihi-$A92))</f>
        <v/>
      </c>
      <c r="H92" s="18" t="n">
        <f aca="false">IF($F92="",0,ROUND($F92*$G92,0))</f>
        <v>0</v>
      </c>
      <c r="I92" s="18" t="n">
        <f aca="false">IF($H92="",0,ROUND($H92*AdatFaizOran/AdatYilGunSayisi,2))</f>
        <v>0</v>
      </c>
      <c r="J92" s="22"/>
    </row>
    <row r="93" customFormat="false" ht="15" hidden="false" customHeight="false" outlineLevel="0" collapsed="false">
      <c r="A93" s="21"/>
      <c r="B93" s="22"/>
      <c r="C93" s="22"/>
      <c r="D93" s="23"/>
      <c r="E93" s="20" t="str">
        <f aca="false">IF($A93="","",IF($C93="Borç",-$D93,$D93))</f>
        <v/>
      </c>
      <c r="F93" s="18" t="str">
        <f aca="false">IF($A93="","",IFERROR(IF(INDEX(tblOrtak[Ortak Adı],ROW($A93)-ROW(tblOrtak[[#Headers],[Tarih]])-1)=$B93,INDEX(tblOrtak[Bakiye (₺)],ROW($A93)-ROW(tblOrtak[[#Headers],[Tarih]])-1)+$E93,$E93),$E93))</f>
        <v/>
      </c>
      <c r="G93" s="19" t="str">
        <f aca="false">IF($A93="","",IFERROR(IF(INDEX(tblOrtak[Tarih],ROW($A93)-ROW(tblOrtak[[#Headers],[Tarih]])+1)=0,RaporTarihi,INDEX(tblOrtak[Tarih],ROW($A93)-ROW(tblOrtak[[#Headers],[Tarih]])+1))-$A93,RaporTarihi-$A93))</f>
        <v/>
      </c>
      <c r="H93" s="18" t="n">
        <f aca="false">IF($F93="",0,ROUND($F93*$G93,0))</f>
        <v>0</v>
      </c>
      <c r="I93" s="18" t="n">
        <f aca="false">IF($H93="",0,ROUND($H93*AdatFaizOran/AdatYilGunSayisi,2))</f>
        <v>0</v>
      </c>
      <c r="J93" s="22"/>
    </row>
    <row r="94" customFormat="false" ht="15" hidden="false" customHeight="false" outlineLevel="0" collapsed="false">
      <c r="A94" s="21"/>
      <c r="B94" s="22"/>
      <c r="C94" s="22"/>
      <c r="D94" s="23"/>
      <c r="E94" s="20" t="str">
        <f aca="false">IF($A94="","",IF($C94="Borç",-$D94,$D94))</f>
        <v/>
      </c>
      <c r="F94" s="18" t="str">
        <f aca="false">IF($A94="","",IFERROR(IF(INDEX(tblOrtak[Ortak Adı],ROW($A94)-ROW(tblOrtak[[#Headers],[Tarih]])-1)=$B94,INDEX(tblOrtak[Bakiye (₺)],ROW($A94)-ROW(tblOrtak[[#Headers],[Tarih]])-1)+$E94,$E94),$E94))</f>
        <v/>
      </c>
      <c r="G94" s="19" t="str">
        <f aca="false">IF($A94="","",IFERROR(IF(INDEX(tblOrtak[Tarih],ROW($A94)-ROW(tblOrtak[[#Headers],[Tarih]])+1)=0,RaporTarihi,INDEX(tblOrtak[Tarih],ROW($A94)-ROW(tblOrtak[[#Headers],[Tarih]])+1))-$A94,RaporTarihi-$A94))</f>
        <v/>
      </c>
      <c r="H94" s="18" t="n">
        <f aca="false">IF($F94="",0,ROUND($F94*$G94,0))</f>
        <v>0</v>
      </c>
      <c r="I94" s="18" t="n">
        <f aca="false">IF($H94="",0,ROUND($H94*AdatFaizOran/AdatYilGunSayisi,2))</f>
        <v>0</v>
      </c>
      <c r="J94" s="22"/>
    </row>
    <row r="95" customFormat="false" ht="15" hidden="false" customHeight="false" outlineLevel="0" collapsed="false">
      <c r="A95" s="21"/>
      <c r="B95" s="22"/>
      <c r="C95" s="22"/>
      <c r="D95" s="23"/>
      <c r="E95" s="20" t="str">
        <f aca="false">IF($A95="","",IF($C95="Borç",-$D95,$D95))</f>
        <v/>
      </c>
      <c r="F95" s="18" t="str">
        <f aca="false">IF($A95="","",IFERROR(IF(INDEX(tblOrtak[Ortak Adı],ROW($A95)-ROW(tblOrtak[[#Headers],[Tarih]])-1)=$B95,INDEX(tblOrtak[Bakiye (₺)],ROW($A95)-ROW(tblOrtak[[#Headers],[Tarih]])-1)+$E95,$E95),$E95))</f>
        <v/>
      </c>
      <c r="G95" s="19" t="str">
        <f aca="false">IF($A95="","",IFERROR(IF(INDEX(tblOrtak[Tarih],ROW($A95)-ROW(tblOrtak[[#Headers],[Tarih]])+1)=0,RaporTarihi,INDEX(tblOrtak[Tarih],ROW($A95)-ROW(tblOrtak[[#Headers],[Tarih]])+1))-$A95,RaporTarihi-$A95))</f>
        <v/>
      </c>
      <c r="H95" s="18" t="n">
        <f aca="false">IF($F95="",0,ROUND($F95*$G95,0))</f>
        <v>0</v>
      </c>
      <c r="I95" s="18" t="n">
        <f aca="false">IF($H95="",0,ROUND($H95*AdatFaizOran/AdatYilGunSayisi,2))</f>
        <v>0</v>
      </c>
      <c r="J95" s="22"/>
    </row>
    <row r="96" customFormat="false" ht="15" hidden="false" customHeight="false" outlineLevel="0" collapsed="false">
      <c r="A96" s="21"/>
      <c r="B96" s="22"/>
      <c r="C96" s="22"/>
      <c r="D96" s="23"/>
      <c r="E96" s="20" t="str">
        <f aca="false">IF($A96="","",IF($C96="Borç",-$D96,$D96))</f>
        <v/>
      </c>
      <c r="F96" s="18" t="str">
        <f aca="false">IF($A96="","",IFERROR(IF(INDEX(tblOrtak[Ortak Adı],ROW($A96)-ROW(tblOrtak[[#Headers],[Tarih]])-1)=$B96,INDEX(tblOrtak[Bakiye (₺)],ROW($A96)-ROW(tblOrtak[[#Headers],[Tarih]])-1)+$E96,$E96),$E96))</f>
        <v/>
      </c>
      <c r="G96" s="19" t="str">
        <f aca="false">IF($A96="","",IFERROR(IF(INDEX(tblOrtak[Tarih],ROW($A96)-ROW(tblOrtak[[#Headers],[Tarih]])+1)=0,RaporTarihi,INDEX(tblOrtak[Tarih],ROW($A96)-ROW(tblOrtak[[#Headers],[Tarih]])+1))-$A96,RaporTarihi-$A96))</f>
        <v/>
      </c>
      <c r="H96" s="18" t="n">
        <f aca="false">IF($F96="",0,ROUND($F96*$G96,0))</f>
        <v>0</v>
      </c>
      <c r="I96" s="18" t="n">
        <f aca="false">IF($H96="",0,ROUND($H96*AdatFaizOran/AdatYilGunSayisi,2))</f>
        <v>0</v>
      </c>
      <c r="J96" s="22"/>
    </row>
    <row r="97" customFormat="false" ht="15" hidden="false" customHeight="false" outlineLevel="0" collapsed="false">
      <c r="A97" s="21"/>
      <c r="B97" s="22"/>
      <c r="C97" s="22"/>
      <c r="D97" s="23"/>
      <c r="E97" s="20" t="str">
        <f aca="false">IF($A97="","",IF($C97="Borç",-$D97,$D97))</f>
        <v/>
      </c>
      <c r="F97" s="18" t="str">
        <f aca="false">IF($A97="","",IFERROR(IF(INDEX(tblOrtak[Ortak Adı],ROW($A97)-ROW(tblOrtak[[#Headers],[Tarih]])-1)=$B97,INDEX(tblOrtak[Bakiye (₺)],ROW($A97)-ROW(tblOrtak[[#Headers],[Tarih]])-1)+$E97,$E97),$E97))</f>
        <v/>
      </c>
      <c r="G97" s="19" t="str">
        <f aca="false">IF($A97="","",IFERROR(IF(INDEX(tblOrtak[Tarih],ROW($A97)-ROW(tblOrtak[[#Headers],[Tarih]])+1)=0,RaporTarihi,INDEX(tblOrtak[Tarih],ROW($A97)-ROW(tblOrtak[[#Headers],[Tarih]])+1))-$A97,RaporTarihi-$A97))</f>
        <v/>
      </c>
      <c r="H97" s="18" t="n">
        <f aca="false">IF($F97="",0,ROUND($F97*$G97,0))</f>
        <v>0</v>
      </c>
      <c r="I97" s="18" t="n">
        <f aca="false">IF($H97="",0,ROUND($H97*AdatFaizOran/AdatYilGunSayisi,2))</f>
        <v>0</v>
      </c>
      <c r="J97" s="22"/>
    </row>
    <row r="98" customFormat="false" ht="15" hidden="false" customHeight="false" outlineLevel="0" collapsed="false">
      <c r="A98" s="21"/>
      <c r="B98" s="22"/>
      <c r="C98" s="22"/>
      <c r="D98" s="23"/>
      <c r="E98" s="20" t="str">
        <f aca="false">IF($A98="","",IF($C98="Borç",-$D98,$D98))</f>
        <v/>
      </c>
      <c r="F98" s="18" t="str">
        <f aca="false">IF($A98="","",IFERROR(IF(INDEX(tblOrtak[Ortak Adı],ROW($A98)-ROW(tblOrtak[[#Headers],[Tarih]])-1)=$B98,INDEX(tblOrtak[Bakiye (₺)],ROW($A98)-ROW(tblOrtak[[#Headers],[Tarih]])-1)+$E98,$E98),$E98))</f>
        <v/>
      </c>
      <c r="G98" s="19" t="str">
        <f aca="false">IF($A98="","",IFERROR(IF(INDEX(tblOrtak[Tarih],ROW($A98)-ROW(tblOrtak[[#Headers],[Tarih]])+1)=0,RaporTarihi,INDEX(tblOrtak[Tarih],ROW($A98)-ROW(tblOrtak[[#Headers],[Tarih]])+1))-$A98,RaporTarihi-$A98))</f>
        <v/>
      </c>
      <c r="H98" s="18" t="n">
        <f aca="false">IF($F98="",0,ROUND($F98*$G98,0))</f>
        <v>0</v>
      </c>
      <c r="I98" s="18" t="n">
        <f aca="false">IF($H98="",0,ROUND($H98*AdatFaizOran/AdatYilGunSayisi,2))</f>
        <v>0</v>
      </c>
      <c r="J98" s="22"/>
    </row>
    <row r="99" customFormat="false" ht="15" hidden="false" customHeight="false" outlineLevel="0" collapsed="false">
      <c r="A99" s="21"/>
      <c r="B99" s="22"/>
      <c r="C99" s="22"/>
      <c r="D99" s="23"/>
      <c r="E99" s="20" t="str">
        <f aca="false">IF($A99="","",IF($C99="Borç",-$D99,$D99))</f>
        <v/>
      </c>
      <c r="F99" s="18" t="str">
        <f aca="false">IF($A99="","",IFERROR(IF(INDEX(tblOrtak[Ortak Adı],ROW($A99)-ROW(tblOrtak[[#Headers],[Tarih]])-1)=$B99,INDEX(tblOrtak[Bakiye (₺)],ROW($A99)-ROW(tblOrtak[[#Headers],[Tarih]])-1)+$E99,$E99),$E99))</f>
        <v/>
      </c>
      <c r="G99" s="19" t="str">
        <f aca="false">IF($A99="","",IFERROR(IF(INDEX(tblOrtak[Tarih],ROW($A99)-ROW(tblOrtak[[#Headers],[Tarih]])+1)=0,RaporTarihi,INDEX(tblOrtak[Tarih],ROW($A99)-ROW(tblOrtak[[#Headers],[Tarih]])+1))-$A99,RaporTarihi-$A99))</f>
        <v/>
      </c>
      <c r="H99" s="18" t="n">
        <f aca="false">IF($F99="",0,ROUND($F99*$G99,0))</f>
        <v>0</v>
      </c>
      <c r="I99" s="18" t="n">
        <f aca="false">IF($H99="",0,ROUND($H99*AdatFaizOran/AdatYilGunSayisi,2))</f>
        <v>0</v>
      </c>
      <c r="J99" s="22"/>
    </row>
    <row r="100" customFormat="false" ht="15" hidden="false" customHeight="false" outlineLevel="0" collapsed="false">
      <c r="A100" s="21"/>
      <c r="B100" s="22"/>
      <c r="C100" s="22"/>
      <c r="D100" s="23"/>
      <c r="E100" s="20" t="str">
        <f aca="false">IF($A100="","",IF($C100="Borç",-$D100,$D100))</f>
        <v/>
      </c>
      <c r="F100" s="18" t="str">
        <f aca="false">IF($A100="","",IFERROR(IF(INDEX(tblOrtak[Ortak Adı],ROW($A100)-ROW(tblOrtak[[#Headers],[Tarih]])-1)=$B100,INDEX(tblOrtak[Bakiye (₺)],ROW($A100)-ROW(tblOrtak[[#Headers],[Tarih]])-1)+$E100,$E100),$E100))</f>
        <v/>
      </c>
      <c r="G100" s="19" t="str">
        <f aca="false">IF($A100="","",IFERROR(IF(INDEX(tblOrtak[Tarih],ROW($A100)-ROW(tblOrtak[[#Headers],[Tarih]])+1)=0,RaporTarihi,INDEX(tblOrtak[Tarih],ROW($A100)-ROW(tblOrtak[[#Headers],[Tarih]])+1))-$A100,RaporTarihi-$A100))</f>
        <v/>
      </c>
      <c r="H100" s="18" t="n">
        <f aca="false">IF($F100="",0,ROUND($F100*$G100,0))</f>
        <v>0</v>
      </c>
      <c r="I100" s="18" t="n">
        <f aca="false">IF($H100="",0,ROUND($H100*AdatFaizOran/AdatYilGunSayisi,2))</f>
        <v>0</v>
      </c>
      <c r="J100" s="22"/>
    </row>
    <row r="101" customFormat="false" ht="15" hidden="false" customHeight="false" outlineLevel="0" collapsed="false">
      <c r="A101" s="21"/>
      <c r="B101" s="22"/>
      <c r="C101" s="22"/>
      <c r="D101" s="23"/>
      <c r="E101" s="20" t="str">
        <f aca="false">IF($A101="","",IF($C101="Borç",-$D101,$D101))</f>
        <v/>
      </c>
      <c r="F101" s="18" t="str">
        <f aca="false">IF($A101="","",IFERROR(IF(INDEX(tblOrtak[Ortak Adı],ROW($A101)-ROW(tblOrtak[[#Headers],[Tarih]])-1)=$B101,INDEX(tblOrtak[Bakiye (₺)],ROW($A101)-ROW(tblOrtak[[#Headers],[Tarih]])-1)+$E101,$E101),$E101))</f>
        <v/>
      </c>
      <c r="G101" s="19" t="str">
        <f aca="false">IF($A101="","",IFERROR(IF(INDEX(tblOrtak[Tarih],ROW($A101)-ROW(tblOrtak[[#Headers],[Tarih]])+1)=0,RaporTarihi,INDEX(tblOrtak[Tarih],ROW($A101)-ROW(tblOrtak[[#Headers],[Tarih]])+1))-$A101,RaporTarihi-$A101))</f>
        <v/>
      </c>
      <c r="H101" s="18" t="n">
        <f aca="false">IF($F101="",0,ROUND($F101*$G101,0))</f>
        <v>0</v>
      </c>
      <c r="I101" s="18" t="n">
        <f aca="false">IF($H101="",0,ROUND($H101*AdatFaizOran/AdatYilGunSayisi,2))</f>
        <v>0</v>
      </c>
      <c r="J101" s="22"/>
    </row>
    <row r="102" customFormat="false" ht="15" hidden="false" customHeight="false" outlineLevel="0" collapsed="false">
      <c r="A102" s="21"/>
      <c r="B102" s="22"/>
      <c r="C102" s="22"/>
      <c r="D102" s="23"/>
      <c r="E102" s="20" t="str">
        <f aca="false">IF($A102="","",IF($C102="Borç",-$D102,$D102))</f>
        <v/>
      </c>
      <c r="F102" s="18" t="str">
        <f aca="false">IF($A102="","",IFERROR(IF(INDEX(tblOrtak[Ortak Adı],ROW($A102)-ROW(tblOrtak[[#Headers],[Tarih]])-1)=$B102,INDEX(tblOrtak[Bakiye (₺)],ROW($A102)-ROW(tblOrtak[[#Headers],[Tarih]])-1)+$E102,$E102),$E102))</f>
        <v/>
      </c>
      <c r="G102" s="19" t="str">
        <f aca="false">IF($A102="","",IFERROR(IF(INDEX(tblOrtak[Tarih],ROW($A102)-ROW(tblOrtak[[#Headers],[Tarih]])+1)=0,RaporTarihi,INDEX(tblOrtak[Tarih],ROW($A102)-ROW(tblOrtak[[#Headers],[Tarih]])+1))-$A102,RaporTarihi-$A102))</f>
        <v/>
      </c>
      <c r="H102" s="18" t="n">
        <f aca="false">IF($F102="",0,ROUND($F102*$G102,0))</f>
        <v>0</v>
      </c>
      <c r="I102" s="18" t="n">
        <f aca="false">IF($H102="",0,ROUND($H102*AdatFaizOran/AdatYilGunSayisi,2))</f>
        <v>0</v>
      </c>
      <c r="J102" s="22"/>
    </row>
    <row r="103" customFormat="false" ht="15" hidden="false" customHeight="false" outlineLevel="0" collapsed="false">
      <c r="A103" s="21"/>
      <c r="B103" s="22"/>
      <c r="C103" s="22"/>
      <c r="D103" s="23"/>
      <c r="E103" s="20" t="str">
        <f aca="false">IF($A103="","",IF($C103="Borç",-$D103,$D103))</f>
        <v/>
      </c>
      <c r="F103" s="18" t="str">
        <f aca="false">IF($A103="","",IFERROR(IF(INDEX(tblOrtak[Ortak Adı],ROW($A103)-ROW(tblOrtak[[#Headers],[Tarih]])-1)=$B103,INDEX(tblOrtak[Bakiye (₺)],ROW($A103)-ROW(tblOrtak[[#Headers],[Tarih]])-1)+$E103,$E103),$E103))</f>
        <v/>
      </c>
      <c r="G103" s="19" t="str">
        <f aca="false">IF($A103="","",IFERROR(IF(INDEX(tblOrtak[Tarih],ROW($A103)-ROW(tblOrtak[[#Headers],[Tarih]])+1)=0,RaporTarihi,INDEX(tblOrtak[Tarih],ROW($A103)-ROW(tblOrtak[[#Headers],[Tarih]])+1))-$A103,RaporTarihi-$A103))</f>
        <v/>
      </c>
      <c r="H103" s="18" t="n">
        <f aca="false">IF($F103="",0,ROUND($F103*$G103,0))</f>
        <v>0</v>
      </c>
      <c r="I103" s="18" t="n">
        <f aca="false">IF($H103="",0,ROUND($H103*AdatFaizOran/AdatYilGunSayisi,2))</f>
        <v>0</v>
      </c>
      <c r="J103" s="22"/>
    </row>
    <row r="104" customFormat="false" ht="15" hidden="false" customHeight="false" outlineLevel="0" collapsed="false">
      <c r="A104" s="21"/>
      <c r="B104" s="22"/>
      <c r="C104" s="22"/>
      <c r="D104" s="23"/>
      <c r="E104" s="20" t="str">
        <f aca="false">IF($A104="","",IF($C104="Borç",-$D104,$D104))</f>
        <v/>
      </c>
      <c r="F104" s="18" t="str">
        <f aca="false">IF($A104="","",IFERROR(IF(INDEX(tblOrtak[Ortak Adı],ROW($A104)-ROW(tblOrtak[[#Headers],[Tarih]])-1)=$B104,INDEX(tblOrtak[Bakiye (₺)],ROW($A104)-ROW(tblOrtak[[#Headers],[Tarih]])-1)+$E104,$E104),$E104))</f>
        <v/>
      </c>
      <c r="G104" s="19" t="str">
        <f aca="false">IF($A104="","",IFERROR(IF(INDEX(tblOrtak[Tarih],ROW($A104)-ROW(tblOrtak[[#Headers],[Tarih]])+1)=0,RaporTarihi,INDEX(tblOrtak[Tarih],ROW($A104)-ROW(tblOrtak[[#Headers],[Tarih]])+1))-$A104,RaporTarihi-$A104))</f>
        <v/>
      </c>
      <c r="H104" s="18" t="n">
        <f aca="false">IF($F104="",0,ROUND($F104*$G104,0))</f>
        <v>0</v>
      </c>
      <c r="I104" s="18" t="n">
        <f aca="false">IF($H104="",0,ROUND($H104*AdatFaizOran/AdatYilGunSayisi,2))</f>
        <v>0</v>
      </c>
      <c r="J104" s="22"/>
    </row>
    <row r="105" customFormat="false" ht="15" hidden="false" customHeight="false" outlineLevel="0" collapsed="false">
      <c r="A105" s="21"/>
      <c r="B105" s="22"/>
      <c r="C105" s="22"/>
      <c r="D105" s="23"/>
      <c r="E105" s="20" t="str">
        <f aca="false">IF($A105="","",IF($C105="Borç",-$D105,$D105))</f>
        <v/>
      </c>
      <c r="F105" s="18" t="str">
        <f aca="false">IF($A105="","",IFERROR(IF(INDEX(tblOrtak[Ortak Adı],ROW($A105)-ROW(tblOrtak[[#Headers],[Tarih]])-1)=$B105,INDEX(tblOrtak[Bakiye (₺)],ROW($A105)-ROW(tblOrtak[[#Headers],[Tarih]])-1)+$E105,$E105),$E105))</f>
        <v/>
      </c>
      <c r="G105" s="19" t="str">
        <f aca="false">IF($A105="","",IFERROR(IF(INDEX(tblOrtak[Tarih],ROW($A105)-ROW(tblOrtak[[#Headers],[Tarih]])+1)=0,RaporTarihi,INDEX(tblOrtak[Tarih],ROW($A105)-ROW(tblOrtak[[#Headers],[Tarih]])+1))-$A105,RaporTarihi-$A105))</f>
        <v/>
      </c>
      <c r="H105" s="18" t="n">
        <f aca="false">IF($F105="",0,ROUND($F105*$G105,0))</f>
        <v>0</v>
      </c>
      <c r="I105" s="18" t="n">
        <f aca="false">IF($H105="",0,ROUND($H105*AdatFaizOran/AdatYilGunSayisi,2))</f>
        <v>0</v>
      </c>
      <c r="J105" s="22"/>
    </row>
    <row r="106" customFormat="false" ht="15" hidden="false" customHeight="false" outlineLevel="0" collapsed="false">
      <c r="A106" s="21"/>
      <c r="B106" s="22"/>
      <c r="C106" s="22"/>
      <c r="D106" s="23"/>
      <c r="E106" s="20" t="str">
        <f aca="false">IF($A106="","",IF($C106="Borç",-$D106,$D106))</f>
        <v/>
      </c>
      <c r="F106" s="18" t="str">
        <f aca="false">IF($A106="","",IFERROR(IF(INDEX(tblOrtak[Ortak Adı],ROW($A106)-ROW(tblOrtak[[#Headers],[Tarih]])-1)=$B106,INDEX(tblOrtak[Bakiye (₺)],ROW($A106)-ROW(tblOrtak[[#Headers],[Tarih]])-1)+$E106,$E106),$E106))</f>
        <v/>
      </c>
      <c r="G106" s="19" t="str">
        <f aca="false">IF($A106="","",IFERROR(IF(INDEX(tblOrtak[Tarih],ROW($A106)-ROW(tblOrtak[[#Headers],[Tarih]])+1)=0,RaporTarihi,INDEX(tblOrtak[Tarih],ROW($A106)-ROW(tblOrtak[[#Headers],[Tarih]])+1))-$A106,RaporTarihi-$A106))</f>
        <v/>
      </c>
      <c r="H106" s="18" t="n">
        <f aca="false">IF($F106="",0,ROUND($F106*$G106,0))</f>
        <v>0</v>
      </c>
      <c r="I106" s="18" t="n">
        <f aca="false">IF($H106="",0,ROUND($H106*AdatFaizOran/AdatYilGunSayisi,2))</f>
        <v>0</v>
      </c>
      <c r="J106" s="22"/>
    </row>
    <row r="107" customFormat="false" ht="15" hidden="false" customHeight="false" outlineLevel="0" collapsed="false">
      <c r="A107" s="21"/>
      <c r="B107" s="22"/>
      <c r="C107" s="22"/>
      <c r="D107" s="23"/>
      <c r="E107" s="20" t="str">
        <f aca="false">IF($A107="","",IF($C107="Borç",-$D107,$D107))</f>
        <v/>
      </c>
      <c r="F107" s="18" t="str">
        <f aca="false">IF($A107="","",IFERROR(IF(INDEX(tblOrtak[Ortak Adı],ROW($A107)-ROW(tblOrtak[[#Headers],[Tarih]])-1)=$B107,INDEX(tblOrtak[Bakiye (₺)],ROW($A107)-ROW(tblOrtak[[#Headers],[Tarih]])-1)+$E107,$E107),$E107))</f>
        <v/>
      </c>
      <c r="G107" s="19" t="str">
        <f aca="false">IF($A107="","",IFERROR(IF(INDEX(tblOrtak[Tarih],ROW($A107)-ROW(tblOrtak[[#Headers],[Tarih]])+1)=0,RaporTarihi,INDEX(tblOrtak[Tarih],ROW($A107)-ROW(tblOrtak[[#Headers],[Tarih]])+1))-$A107,RaporTarihi-$A107))</f>
        <v/>
      </c>
      <c r="H107" s="18" t="n">
        <f aca="false">IF($F107="",0,ROUND($F107*$G107,0))</f>
        <v>0</v>
      </c>
      <c r="I107" s="18" t="n">
        <f aca="false">IF($H107="",0,ROUND($H107*AdatFaizOran/AdatYilGunSayisi,2))</f>
        <v>0</v>
      </c>
      <c r="J107" s="22"/>
    </row>
    <row r="108" customFormat="false" ht="15" hidden="false" customHeight="false" outlineLevel="0" collapsed="false">
      <c r="A108" s="21"/>
      <c r="B108" s="22"/>
      <c r="C108" s="22"/>
      <c r="D108" s="23"/>
      <c r="E108" s="20" t="str">
        <f aca="false">IF($A108="","",IF($C108="Borç",-$D108,$D108))</f>
        <v/>
      </c>
      <c r="F108" s="18" t="str">
        <f aca="false">IF($A108="","",IFERROR(IF(INDEX(tblOrtak[Ortak Adı],ROW($A108)-ROW(tblOrtak[[#Headers],[Tarih]])-1)=$B108,INDEX(tblOrtak[Bakiye (₺)],ROW($A108)-ROW(tblOrtak[[#Headers],[Tarih]])-1)+$E108,$E108),$E108))</f>
        <v/>
      </c>
      <c r="G108" s="19" t="str">
        <f aca="false">IF($A108="","",IFERROR(IF(INDEX(tblOrtak[Tarih],ROW($A108)-ROW(tblOrtak[[#Headers],[Tarih]])+1)=0,RaporTarihi,INDEX(tblOrtak[Tarih],ROW($A108)-ROW(tblOrtak[[#Headers],[Tarih]])+1))-$A108,RaporTarihi-$A108))</f>
        <v/>
      </c>
      <c r="H108" s="18" t="n">
        <f aca="false">IF($F108="",0,ROUND($F108*$G108,0))</f>
        <v>0</v>
      </c>
      <c r="I108" s="18" t="n">
        <f aca="false">IF($H108="",0,ROUND($H108*AdatFaizOran/AdatYilGunSayisi,2))</f>
        <v>0</v>
      </c>
      <c r="J108" s="22"/>
    </row>
    <row r="109" customFormat="false" ht="15" hidden="false" customHeight="false" outlineLevel="0" collapsed="false">
      <c r="A109" s="21"/>
      <c r="B109" s="22"/>
      <c r="C109" s="22"/>
      <c r="D109" s="23"/>
      <c r="E109" s="20" t="str">
        <f aca="false">IF($A109="","",IF($C109="Borç",-$D109,$D109))</f>
        <v/>
      </c>
      <c r="F109" s="18" t="str">
        <f aca="false">IF($A109="","",IFERROR(IF(INDEX(tblOrtak[Ortak Adı],ROW($A109)-ROW(tblOrtak[[#Headers],[Tarih]])-1)=$B109,INDEX(tblOrtak[Bakiye (₺)],ROW($A109)-ROW(tblOrtak[[#Headers],[Tarih]])-1)+$E109,$E109),$E109))</f>
        <v/>
      </c>
      <c r="G109" s="19" t="str">
        <f aca="false">IF($A109="","",IFERROR(IF(INDEX(tblOrtak[Tarih],ROW($A109)-ROW(tblOrtak[[#Headers],[Tarih]])+1)=0,RaporTarihi,INDEX(tblOrtak[Tarih],ROW($A109)-ROW(tblOrtak[[#Headers],[Tarih]])+1))-$A109,RaporTarihi-$A109))</f>
        <v/>
      </c>
      <c r="H109" s="18" t="n">
        <f aca="false">IF($F109="",0,ROUND($F109*$G109,0))</f>
        <v>0</v>
      </c>
      <c r="I109" s="18" t="n">
        <f aca="false">IF($H109="",0,ROUND($H109*AdatFaizOran/AdatYilGunSayisi,2))</f>
        <v>0</v>
      </c>
      <c r="J109" s="22"/>
    </row>
    <row r="110" customFormat="false" ht="15" hidden="false" customHeight="false" outlineLevel="0" collapsed="false">
      <c r="A110" s="21"/>
      <c r="B110" s="22"/>
      <c r="C110" s="22"/>
      <c r="D110" s="23"/>
      <c r="E110" s="20" t="str">
        <f aca="false">IF($A110="","",IF($C110="Borç",-$D110,$D110))</f>
        <v/>
      </c>
      <c r="F110" s="18" t="str">
        <f aca="false">IF($A110="","",IFERROR(IF(INDEX(tblOrtak[Ortak Adı],ROW($A110)-ROW(tblOrtak[[#Headers],[Tarih]])-1)=$B110,INDEX(tblOrtak[Bakiye (₺)],ROW($A110)-ROW(tblOrtak[[#Headers],[Tarih]])-1)+$E110,$E110),$E110))</f>
        <v/>
      </c>
      <c r="G110" s="19" t="str">
        <f aca="false">IF($A110="","",IFERROR(IF(INDEX(tblOrtak[Tarih],ROW($A110)-ROW(tblOrtak[[#Headers],[Tarih]])+1)=0,RaporTarihi,INDEX(tblOrtak[Tarih],ROW($A110)-ROW(tblOrtak[[#Headers],[Tarih]])+1))-$A110,RaporTarihi-$A110))</f>
        <v/>
      </c>
      <c r="H110" s="18" t="n">
        <f aca="false">IF($F110="",0,ROUND($F110*$G110,0))</f>
        <v>0</v>
      </c>
      <c r="I110" s="18" t="n">
        <f aca="false">IF($H110="",0,ROUND($H110*AdatFaizOran/AdatYilGunSayisi,2))</f>
        <v>0</v>
      </c>
      <c r="J110" s="22"/>
    </row>
    <row r="111" customFormat="false" ht="15" hidden="false" customHeight="false" outlineLevel="0" collapsed="false">
      <c r="A111" s="21"/>
      <c r="B111" s="22"/>
      <c r="C111" s="22"/>
      <c r="D111" s="23"/>
      <c r="E111" s="20" t="str">
        <f aca="false">IF($A111="","",IF($C111="Borç",-$D111,$D111))</f>
        <v/>
      </c>
      <c r="F111" s="18" t="str">
        <f aca="false">IF($A111="","",IFERROR(IF(INDEX(tblOrtak[Ortak Adı],ROW($A111)-ROW(tblOrtak[[#Headers],[Tarih]])-1)=$B111,INDEX(tblOrtak[Bakiye (₺)],ROW($A111)-ROW(tblOrtak[[#Headers],[Tarih]])-1)+$E111,$E111),$E111))</f>
        <v/>
      </c>
      <c r="G111" s="19" t="str">
        <f aca="false">IF($A111="","",IFERROR(IF(INDEX(tblOrtak[Tarih],ROW($A111)-ROW(tblOrtak[[#Headers],[Tarih]])+1)=0,RaporTarihi,INDEX(tblOrtak[Tarih],ROW($A111)-ROW(tblOrtak[[#Headers],[Tarih]])+1))-$A111,RaporTarihi-$A111))</f>
        <v/>
      </c>
      <c r="H111" s="18" t="n">
        <f aca="false">IF($F111="",0,ROUND($F111*$G111,0))</f>
        <v>0</v>
      </c>
      <c r="I111" s="18" t="n">
        <f aca="false">IF($H111="",0,ROUND($H111*AdatFaizOran/AdatYilGunSayisi,2))</f>
        <v>0</v>
      </c>
      <c r="J111" s="22"/>
    </row>
    <row r="112" customFormat="false" ht="15" hidden="false" customHeight="false" outlineLevel="0" collapsed="false">
      <c r="A112" s="21"/>
      <c r="B112" s="22"/>
      <c r="C112" s="22"/>
      <c r="D112" s="23"/>
      <c r="E112" s="20" t="str">
        <f aca="false">IF($A112="","",IF($C112="Borç",-$D112,$D112))</f>
        <v/>
      </c>
      <c r="F112" s="18" t="str">
        <f aca="false">IF($A112="","",IFERROR(IF(INDEX(tblOrtak[Ortak Adı],ROW($A112)-ROW(tblOrtak[[#Headers],[Tarih]])-1)=$B112,INDEX(tblOrtak[Bakiye (₺)],ROW($A112)-ROW(tblOrtak[[#Headers],[Tarih]])-1)+$E112,$E112),$E112))</f>
        <v/>
      </c>
      <c r="G112" s="19" t="str">
        <f aca="false">IF($A112="","",IFERROR(IF(INDEX(tblOrtak[Tarih],ROW($A112)-ROW(tblOrtak[[#Headers],[Tarih]])+1)=0,RaporTarihi,INDEX(tblOrtak[Tarih],ROW($A112)-ROW(tblOrtak[[#Headers],[Tarih]])+1))-$A112,RaporTarihi-$A112))</f>
        <v/>
      </c>
      <c r="H112" s="18" t="n">
        <f aca="false">IF($F112="",0,ROUND($F112*$G112,0))</f>
        <v>0</v>
      </c>
      <c r="I112" s="18" t="n">
        <f aca="false">IF($H112="",0,ROUND($H112*AdatFaizOran/AdatYilGunSayisi,2))</f>
        <v>0</v>
      </c>
      <c r="J112" s="22"/>
    </row>
    <row r="113" customFormat="false" ht="15" hidden="false" customHeight="false" outlineLevel="0" collapsed="false">
      <c r="A113" s="21"/>
      <c r="B113" s="22"/>
      <c r="C113" s="22"/>
      <c r="D113" s="23"/>
      <c r="E113" s="20" t="str">
        <f aca="false">IF($A113="","",IF($C113="Borç",-$D113,$D113))</f>
        <v/>
      </c>
      <c r="F113" s="18" t="str">
        <f aca="false">IF($A113="","",IFERROR(IF(INDEX(tblOrtak[Ortak Adı],ROW($A113)-ROW(tblOrtak[[#Headers],[Tarih]])-1)=$B113,INDEX(tblOrtak[Bakiye (₺)],ROW($A113)-ROW(tblOrtak[[#Headers],[Tarih]])-1)+$E113,$E113),$E113))</f>
        <v/>
      </c>
      <c r="G113" s="19" t="str">
        <f aca="false">IF($A113="","",IFERROR(IF(INDEX(tblOrtak[Tarih],ROW($A113)-ROW(tblOrtak[[#Headers],[Tarih]])+1)=0,RaporTarihi,INDEX(tblOrtak[Tarih],ROW($A113)-ROW(tblOrtak[[#Headers],[Tarih]])+1))-$A113,RaporTarihi-$A113))</f>
        <v/>
      </c>
      <c r="H113" s="18" t="n">
        <f aca="false">IF($F113="",0,ROUND($F113*$G113,0))</f>
        <v>0</v>
      </c>
      <c r="I113" s="18" t="n">
        <f aca="false">IF($H113="",0,ROUND($H113*AdatFaizOran/AdatYilGunSayisi,2))</f>
        <v>0</v>
      </c>
      <c r="J113" s="22"/>
    </row>
    <row r="114" customFormat="false" ht="15" hidden="false" customHeight="false" outlineLevel="0" collapsed="false">
      <c r="A114" s="21"/>
      <c r="B114" s="22"/>
      <c r="C114" s="22"/>
      <c r="D114" s="23"/>
      <c r="E114" s="20" t="str">
        <f aca="false">IF($A114="","",IF($C114="Borç",-$D114,$D114))</f>
        <v/>
      </c>
      <c r="F114" s="18" t="str">
        <f aca="false">IF($A114="","",IFERROR(IF(INDEX(tblOrtak[Ortak Adı],ROW($A114)-ROW(tblOrtak[[#Headers],[Tarih]])-1)=$B114,INDEX(tblOrtak[Bakiye (₺)],ROW($A114)-ROW(tblOrtak[[#Headers],[Tarih]])-1)+$E114,$E114),$E114))</f>
        <v/>
      </c>
      <c r="G114" s="19" t="str">
        <f aca="false">IF($A114="","",IFERROR(IF(INDEX(tblOrtak[Tarih],ROW($A114)-ROW(tblOrtak[[#Headers],[Tarih]])+1)=0,RaporTarihi,INDEX(tblOrtak[Tarih],ROW($A114)-ROW(tblOrtak[[#Headers],[Tarih]])+1))-$A114,RaporTarihi-$A114))</f>
        <v/>
      </c>
      <c r="H114" s="18" t="n">
        <f aca="false">IF($F114="",0,ROUND($F114*$G114,0))</f>
        <v>0</v>
      </c>
      <c r="I114" s="18" t="n">
        <f aca="false">IF($H114="",0,ROUND($H114*AdatFaizOran/AdatYilGunSayisi,2))</f>
        <v>0</v>
      </c>
      <c r="J114" s="22"/>
    </row>
    <row r="115" customFormat="false" ht="15" hidden="false" customHeight="false" outlineLevel="0" collapsed="false">
      <c r="A115" s="21"/>
      <c r="B115" s="22"/>
      <c r="C115" s="22"/>
      <c r="D115" s="23"/>
      <c r="E115" s="20" t="str">
        <f aca="false">IF($A115="","",IF($C115="Borç",-$D115,$D115))</f>
        <v/>
      </c>
      <c r="F115" s="18" t="str">
        <f aca="false">IF($A115="","",IFERROR(IF(INDEX(tblOrtak[Ortak Adı],ROW($A115)-ROW(tblOrtak[[#Headers],[Tarih]])-1)=$B115,INDEX(tblOrtak[Bakiye (₺)],ROW($A115)-ROW(tblOrtak[[#Headers],[Tarih]])-1)+$E115,$E115),$E115))</f>
        <v/>
      </c>
      <c r="G115" s="19" t="str">
        <f aca="false">IF($A115="","",IFERROR(IF(INDEX(tblOrtak[Tarih],ROW($A115)-ROW(tblOrtak[[#Headers],[Tarih]])+1)=0,RaporTarihi,INDEX(tblOrtak[Tarih],ROW($A115)-ROW(tblOrtak[[#Headers],[Tarih]])+1))-$A115,RaporTarihi-$A115))</f>
        <v/>
      </c>
      <c r="H115" s="18" t="n">
        <f aca="false">IF($F115="",0,ROUND($F115*$G115,0))</f>
        <v>0</v>
      </c>
      <c r="I115" s="18" t="n">
        <f aca="false">IF($H115="",0,ROUND($H115*AdatFaizOran/AdatYilGunSayisi,2))</f>
        <v>0</v>
      </c>
      <c r="J115" s="22"/>
    </row>
    <row r="116" customFormat="false" ht="15" hidden="false" customHeight="false" outlineLevel="0" collapsed="false">
      <c r="A116" s="21"/>
      <c r="B116" s="22"/>
      <c r="C116" s="22"/>
      <c r="D116" s="23"/>
      <c r="E116" s="20" t="str">
        <f aca="false">IF($A116="","",IF($C116="Borç",-$D116,$D116))</f>
        <v/>
      </c>
      <c r="F116" s="18" t="str">
        <f aca="false">IF($A116="","",IFERROR(IF(INDEX(tblOrtak[Ortak Adı],ROW($A116)-ROW(tblOrtak[[#Headers],[Tarih]])-1)=$B116,INDEX(tblOrtak[Bakiye (₺)],ROW($A116)-ROW(tblOrtak[[#Headers],[Tarih]])-1)+$E116,$E116),$E116))</f>
        <v/>
      </c>
      <c r="G116" s="19" t="str">
        <f aca="false">IF($A116="","",IFERROR(IF(INDEX(tblOrtak[Tarih],ROW($A116)-ROW(tblOrtak[[#Headers],[Tarih]])+1)=0,RaporTarihi,INDEX(tblOrtak[Tarih],ROW($A116)-ROW(tblOrtak[[#Headers],[Tarih]])+1))-$A116,RaporTarihi-$A116))</f>
        <v/>
      </c>
      <c r="H116" s="18" t="n">
        <f aca="false">IF($F116="",0,ROUND($F116*$G116,0))</f>
        <v>0</v>
      </c>
      <c r="I116" s="18" t="n">
        <f aca="false">IF($H116="",0,ROUND($H116*AdatFaizOran/AdatYilGunSayisi,2))</f>
        <v>0</v>
      </c>
      <c r="J116" s="22"/>
    </row>
    <row r="117" customFormat="false" ht="15" hidden="false" customHeight="false" outlineLevel="0" collapsed="false">
      <c r="A117" s="21"/>
      <c r="B117" s="22"/>
      <c r="C117" s="22"/>
      <c r="D117" s="23"/>
      <c r="E117" s="20" t="str">
        <f aca="false">IF($A117="","",IF($C117="Borç",-$D117,$D117))</f>
        <v/>
      </c>
      <c r="F117" s="18" t="str">
        <f aca="false">IF($A117="","",IFERROR(IF(INDEX(tblOrtak[Ortak Adı],ROW($A117)-ROW(tblOrtak[[#Headers],[Tarih]])-1)=$B117,INDEX(tblOrtak[Bakiye (₺)],ROW($A117)-ROW(tblOrtak[[#Headers],[Tarih]])-1)+$E117,$E117),$E117))</f>
        <v/>
      </c>
      <c r="G117" s="19" t="str">
        <f aca="false">IF($A117="","",IFERROR(IF(INDEX(tblOrtak[Tarih],ROW($A117)-ROW(tblOrtak[[#Headers],[Tarih]])+1)=0,RaporTarihi,INDEX(tblOrtak[Tarih],ROW($A117)-ROW(tblOrtak[[#Headers],[Tarih]])+1))-$A117,RaporTarihi-$A117))</f>
        <v/>
      </c>
      <c r="H117" s="18" t="n">
        <f aca="false">IF($F117="",0,ROUND($F117*$G117,0))</f>
        <v>0</v>
      </c>
      <c r="I117" s="18" t="n">
        <f aca="false">IF($H117="",0,ROUND($H117*AdatFaizOran/AdatYilGunSayisi,2))</f>
        <v>0</v>
      </c>
      <c r="J117" s="22"/>
    </row>
    <row r="118" customFormat="false" ht="15" hidden="false" customHeight="false" outlineLevel="0" collapsed="false">
      <c r="A118" s="21"/>
      <c r="B118" s="22"/>
      <c r="C118" s="22"/>
      <c r="D118" s="23"/>
      <c r="E118" s="20" t="str">
        <f aca="false">IF($A118="","",IF($C118="Borç",-$D118,$D118))</f>
        <v/>
      </c>
      <c r="F118" s="18" t="str">
        <f aca="false">IF($A118="","",IFERROR(IF(INDEX(tblOrtak[Ortak Adı],ROW($A118)-ROW(tblOrtak[[#Headers],[Tarih]])-1)=$B118,INDEX(tblOrtak[Bakiye (₺)],ROW($A118)-ROW(tblOrtak[[#Headers],[Tarih]])-1)+$E118,$E118),$E118))</f>
        <v/>
      </c>
      <c r="G118" s="19" t="str">
        <f aca="false">IF($A118="","",IFERROR(IF(INDEX(tblOrtak[Tarih],ROW($A118)-ROW(tblOrtak[[#Headers],[Tarih]])+1)=0,RaporTarihi,INDEX(tblOrtak[Tarih],ROW($A118)-ROW(tblOrtak[[#Headers],[Tarih]])+1))-$A118,RaporTarihi-$A118))</f>
        <v/>
      </c>
      <c r="H118" s="18" t="n">
        <f aca="false">IF($F118="",0,ROUND($F118*$G118,0))</f>
        <v>0</v>
      </c>
      <c r="I118" s="18" t="n">
        <f aca="false">IF($H118="",0,ROUND($H118*AdatFaizOran/AdatYilGunSayisi,2))</f>
        <v>0</v>
      </c>
      <c r="J118" s="22"/>
    </row>
    <row r="119" customFormat="false" ht="15" hidden="false" customHeight="false" outlineLevel="0" collapsed="false">
      <c r="A119" s="21"/>
      <c r="B119" s="22"/>
      <c r="C119" s="22"/>
      <c r="D119" s="23"/>
      <c r="E119" s="20" t="str">
        <f aca="false">IF($A119="","",IF($C119="Borç",-$D119,$D119))</f>
        <v/>
      </c>
      <c r="F119" s="18" t="str">
        <f aca="false">IF($A119="","",IFERROR(IF(INDEX(tblOrtak[Ortak Adı],ROW($A119)-ROW(tblOrtak[[#Headers],[Tarih]])-1)=$B119,INDEX(tblOrtak[Bakiye (₺)],ROW($A119)-ROW(tblOrtak[[#Headers],[Tarih]])-1)+$E119,$E119),$E119))</f>
        <v/>
      </c>
      <c r="G119" s="19" t="str">
        <f aca="false">IF($A119="","",IFERROR(IF(INDEX(tblOrtak[Tarih],ROW($A119)-ROW(tblOrtak[[#Headers],[Tarih]])+1)=0,RaporTarihi,INDEX(tblOrtak[Tarih],ROW($A119)-ROW(tblOrtak[[#Headers],[Tarih]])+1))-$A119,RaporTarihi-$A119))</f>
        <v/>
      </c>
      <c r="H119" s="18" t="n">
        <f aca="false">IF($F119="",0,ROUND($F119*$G119,0))</f>
        <v>0</v>
      </c>
      <c r="I119" s="18" t="n">
        <f aca="false">IF($H119="",0,ROUND($H119*AdatFaizOran/AdatYilGunSayisi,2))</f>
        <v>0</v>
      </c>
      <c r="J119" s="22"/>
    </row>
    <row r="120" customFormat="false" ht="15" hidden="false" customHeight="false" outlineLevel="0" collapsed="false">
      <c r="A120" s="21"/>
      <c r="B120" s="22"/>
      <c r="C120" s="22"/>
      <c r="D120" s="23"/>
      <c r="E120" s="20" t="str">
        <f aca="false">IF($A120="","",IF($C120="Borç",-$D120,$D120))</f>
        <v/>
      </c>
      <c r="F120" s="18" t="str">
        <f aca="false">IF($A120="","",IFERROR(IF(INDEX(tblOrtak[Ortak Adı],ROW($A120)-ROW(tblOrtak[[#Headers],[Tarih]])-1)=$B120,INDEX(tblOrtak[Bakiye (₺)],ROW($A120)-ROW(tblOrtak[[#Headers],[Tarih]])-1)+$E120,$E120),$E120))</f>
        <v/>
      </c>
      <c r="G120" s="19" t="str">
        <f aca="false">IF($A120="","",IFERROR(IF(INDEX(tblOrtak[Tarih],ROW($A120)-ROW(tblOrtak[[#Headers],[Tarih]])+1)=0,RaporTarihi,INDEX(tblOrtak[Tarih],ROW($A120)-ROW(tblOrtak[[#Headers],[Tarih]])+1))-$A120,RaporTarihi-$A120))</f>
        <v/>
      </c>
      <c r="H120" s="18" t="n">
        <f aca="false">IF($F120="",0,ROUND($F120*$G120,0))</f>
        <v>0</v>
      </c>
      <c r="I120" s="18" t="n">
        <f aca="false">IF($H120="",0,ROUND($H120*AdatFaizOran/AdatYilGunSayisi,2))</f>
        <v>0</v>
      </c>
      <c r="J120" s="22"/>
    </row>
    <row r="121" customFormat="false" ht="15" hidden="false" customHeight="false" outlineLevel="0" collapsed="false">
      <c r="A121" s="21"/>
      <c r="B121" s="22"/>
      <c r="C121" s="22"/>
      <c r="D121" s="23"/>
      <c r="E121" s="20" t="str">
        <f aca="false">IF($A121="","",IF($C121="Borç",-$D121,$D121))</f>
        <v/>
      </c>
      <c r="F121" s="18" t="str">
        <f aca="false">IF($A121="","",IFERROR(IF(INDEX(tblOrtak[Ortak Adı],ROW($A121)-ROW(tblOrtak[[#Headers],[Tarih]])-1)=$B121,INDEX(tblOrtak[Bakiye (₺)],ROW($A121)-ROW(tblOrtak[[#Headers],[Tarih]])-1)+$E121,$E121),$E121))</f>
        <v/>
      </c>
      <c r="G121" s="19" t="str">
        <f aca="false">IF($A121="","",IFERROR(IF(INDEX(tblOrtak[Tarih],ROW($A121)-ROW(tblOrtak[[#Headers],[Tarih]])+1)=0,RaporTarihi,INDEX(tblOrtak[Tarih],ROW($A121)-ROW(tblOrtak[[#Headers],[Tarih]])+1))-$A121,RaporTarihi-$A121))</f>
        <v/>
      </c>
      <c r="H121" s="18" t="n">
        <f aca="false">IF($F121="",0,ROUND($F121*$G121,0))</f>
        <v>0</v>
      </c>
      <c r="I121" s="18" t="n">
        <f aca="false">IF($H121="",0,ROUND($H121*AdatFaizOran/AdatYilGunSayisi,2))</f>
        <v>0</v>
      </c>
      <c r="J121" s="22"/>
    </row>
    <row r="122" customFormat="false" ht="15" hidden="false" customHeight="false" outlineLevel="0" collapsed="false">
      <c r="A122" s="21"/>
      <c r="B122" s="22"/>
      <c r="C122" s="22"/>
      <c r="D122" s="23"/>
      <c r="E122" s="20" t="str">
        <f aca="false">IF($A122="","",IF($C122="Borç",-$D122,$D122))</f>
        <v/>
      </c>
      <c r="F122" s="18" t="str">
        <f aca="false">IF($A122="","",IFERROR(IF(INDEX(tblOrtak[Ortak Adı],ROW($A122)-ROW(tblOrtak[[#Headers],[Tarih]])-1)=$B122,INDEX(tblOrtak[Bakiye (₺)],ROW($A122)-ROW(tblOrtak[[#Headers],[Tarih]])-1)+$E122,$E122),$E122))</f>
        <v/>
      </c>
      <c r="G122" s="19" t="str">
        <f aca="false">IF($A122="","",IFERROR(IF(INDEX(tblOrtak[Tarih],ROW($A122)-ROW(tblOrtak[[#Headers],[Tarih]])+1)=0,RaporTarihi,INDEX(tblOrtak[Tarih],ROW($A122)-ROW(tblOrtak[[#Headers],[Tarih]])+1))-$A122,RaporTarihi-$A122))</f>
        <v/>
      </c>
      <c r="H122" s="18" t="n">
        <f aca="false">IF($F122="",0,ROUND($F122*$G122,0))</f>
        <v>0</v>
      </c>
      <c r="I122" s="18" t="n">
        <f aca="false">IF($H122="",0,ROUND($H122*AdatFaizOran/AdatYilGunSayisi,2))</f>
        <v>0</v>
      </c>
      <c r="J122" s="22"/>
    </row>
    <row r="123" customFormat="false" ht="15" hidden="false" customHeight="false" outlineLevel="0" collapsed="false">
      <c r="A123" s="21"/>
      <c r="B123" s="22"/>
      <c r="C123" s="22"/>
      <c r="D123" s="23"/>
      <c r="E123" s="20" t="str">
        <f aca="false">IF($A123="","",IF($C123="Borç",-$D123,$D123))</f>
        <v/>
      </c>
      <c r="F123" s="18" t="str">
        <f aca="false">IF($A123="","",IFERROR(IF(INDEX(tblOrtak[Ortak Adı],ROW($A123)-ROW(tblOrtak[[#Headers],[Tarih]])-1)=$B123,INDEX(tblOrtak[Bakiye (₺)],ROW($A123)-ROW(tblOrtak[[#Headers],[Tarih]])-1)+$E123,$E123),$E123))</f>
        <v/>
      </c>
      <c r="G123" s="19" t="str">
        <f aca="false">IF($A123="","",IFERROR(IF(INDEX(tblOrtak[Tarih],ROW($A123)-ROW(tblOrtak[[#Headers],[Tarih]])+1)=0,RaporTarihi,INDEX(tblOrtak[Tarih],ROW($A123)-ROW(tblOrtak[[#Headers],[Tarih]])+1))-$A123,RaporTarihi-$A123))</f>
        <v/>
      </c>
      <c r="H123" s="18" t="n">
        <f aca="false">IF($F123="",0,ROUND($F123*$G123,0))</f>
        <v>0</v>
      </c>
      <c r="I123" s="18" t="n">
        <f aca="false">IF($H123="",0,ROUND($H123*AdatFaizOran/AdatYilGunSayisi,2))</f>
        <v>0</v>
      </c>
      <c r="J123" s="22"/>
    </row>
    <row r="124" customFormat="false" ht="15" hidden="false" customHeight="false" outlineLevel="0" collapsed="false">
      <c r="A124" s="21"/>
      <c r="B124" s="22"/>
      <c r="C124" s="22"/>
      <c r="D124" s="23"/>
      <c r="E124" s="20" t="str">
        <f aca="false">IF($A124="","",IF($C124="Borç",-$D124,$D124))</f>
        <v/>
      </c>
      <c r="F124" s="18" t="str">
        <f aca="false">IF($A124="","",IFERROR(IF(INDEX(tblOrtak[Ortak Adı],ROW($A124)-ROW(tblOrtak[[#Headers],[Tarih]])-1)=$B124,INDEX(tblOrtak[Bakiye (₺)],ROW($A124)-ROW(tblOrtak[[#Headers],[Tarih]])-1)+$E124,$E124),$E124))</f>
        <v/>
      </c>
      <c r="G124" s="19" t="str">
        <f aca="false">IF($A124="","",IFERROR(IF(INDEX(tblOrtak[Tarih],ROW($A124)-ROW(tblOrtak[[#Headers],[Tarih]])+1)=0,RaporTarihi,INDEX(tblOrtak[Tarih],ROW($A124)-ROW(tblOrtak[[#Headers],[Tarih]])+1))-$A124,RaporTarihi-$A124))</f>
        <v/>
      </c>
      <c r="H124" s="18" t="n">
        <f aca="false">IF($F124="",0,ROUND($F124*$G124,0))</f>
        <v>0</v>
      </c>
      <c r="I124" s="18" t="n">
        <f aca="false">IF($H124="",0,ROUND($H124*AdatFaizOran/AdatYilGunSayisi,2))</f>
        <v>0</v>
      </c>
      <c r="J124" s="22"/>
    </row>
    <row r="125" customFormat="false" ht="15" hidden="false" customHeight="false" outlineLevel="0" collapsed="false">
      <c r="A125" s="21"/>
      <c r="B125" s="22"/>
      <c r="C125" s="22"/>
      <c r="D125" s="23"/>
      <c r="E125" s="20" t="str">
        <f aca="false">IF($A125="","",IF($C125="Borç",-$D125,$D125))</f>
        <v/>
      </c>
      <c r="F125" s="18" t="str">
        <f aca="false">IF($A125="","",IFERROR(IF(INDEX(tblOrtak[Ortak Adı],ROW($A125)-ROW(tblOrtak[[#Headers],[Tarih]])-1)=$B125,INDEX(tblOrtak[Bakiye (₺)],ROW($A125)-ROW(tblOrtak[[#Headers],[Tarih]])-1)+$E125,$E125),$E125))</f>
        <v/>
      </c>
      <c r="G125" s="19" t="str">
        <f aca="false">IF($A125="","",IFERROR(IF(INDEX(tblOrtak[Tarih],ROW($A125)-ROW(tblOrtak[[#Headers],[Tarih]])+1)=0,RaporTarihi,INDEX(tblOrtak[Tarih],ROW($A125)-ROW(tblOrtak[[#Headers],[Tarih]])+1))-$A125,RaporTarihi-$A125))</f>
        <v/>
      </c>
      <c r="H125" s="18" t="n">
        <f aca="false">IF($F125="",0,ROUND($F125*$G125,0))</f>
        <v>0</v>
      </c>
      <c r="I125" s="18" t="n">
        <f aca="false">IF($H125="",0,ROUND($H125*AdatFaizOran/AdatYilGunSayisi,2))</f>
        <v>0</v>
      </c>
      <c r="J125" s="22"/>
    </row>
    <row r="126" customFormat="false" ht="15" hidden="false" customHeight="false" outlineLevel="0" collapsed="false">
      <c r="A126" s="21"/>
      <c r="B126" s="22"/>
      <c r="C126" s="22"/>
      <c r="D126" s="23"/>
      <c r="E126" s="20" t="str">
        <f aca="false">IF($A126="","",IF($C126="Borç",-$D126,$D126))</f>
        <v/>
      </c>
      <c r="F126" s="18" t="str">
        <f aca="false">IF($A126="","",IFERROR(IF(INDEX(tblOrtak[Ortak Adı],ROW($A126)-ROW(tblOrtak[[#Headers],[Tarih]])-1)=$B126,INDEX(tblOrtak[Bakiye (₺)],ROW($A126)-ROW(tblOrtak[[#Headers],[Tarih]])-1)+$E126,$E126),$E126))</f>
        <v/>
      </c>
      <c r="G126" s="19" t="str">
        <f aca="false">IF($A126="","",IFERROR(IF(INDEX(tblOrtak[Tarih],ROW($A126)-ROW(tblOrtak[[#Headers],[Tarih]])+1)=0,RaporTarihi,INDEX(tblOrtak[Tarih],ROW($A126)-ROW(tblOrtak[[#Headers],[Tarih]])+1))-$A126,RaporTarihi-$A126))</f>
        <v/>
      </c>
      <c r="H126" s="18" t="n">
        <f aca="false">IF($F126="",0,ROUND($F126*$G126,0))</f>
        <v>0</v>
      </c>
      <c r="I126" s="18" t="n">
        <f aca="false">IF($H126="",0,ROUND($H126*AdatFaizOran/AdatYilGunSayisi,2))</f>
        <v>0</v>
      </c>
      <c r="J126" s="22"/>
    </row>
    <row r="127" customFormat="false" ht="15" hidden="false" customHeight="false" outlineLevel="0" collapsed="false">
      <c r="A127" s="21"/>
      <c r="B127" s="22"/>
      <c r="C127" s="22"/>
      <c r="D127" s="23"/>
      <c r="E127" s="20" t="str">
        <f aca="false">IF($A127="","",IF($C127="Borç",-$D127,$D127))</f>
        <v/>
      </c>
      <c r="F127" s="18" t="str">
        <f aca="false">IF($A127="","",IFERROR(IF(INDEX(tblOrtak[Ortak Adı],ROW($A127)-ROW(tblOrtak[[#Headers],[Tarih]])-1)=$B127,INDEX(tblOrtak[Bakiye (₺)],ROW($A127)-ROW(tblOrtak[[#Headers],[Tarih]])-1)+$E127,$E127),$E127))</f>
        <v/>
      </c>
      <c r="G127" s="19" t="str">
        <f aca="false">IF($A127="","",IFERROR(IF(INDEX(tblOrtak[Tarih],ROW($A127)-ROW(tblOrtak[[#Headers],[Tarih]])+1)=0,RaporTarihi,INDEX(tblOrtak[Tarih],ROW($A127)-ROW(tblOrtak[[#Headers],[Tarih]])+1))-$A127,RaporTarihi-$A127))</f>
        <v/>
      </c>
      <c r="H127" s="18" t="n">
        <f aca="false">IF($F127="",0,ROUND($F127*$G127,0))</f>
        <v>0</v>
      </c>
      <c r="I127" s="18" t="n">
        <f aca="false">IF($H127="",0,ROUND($H127*AdatFaizOran/AdatYilGunSayisi,2))</f>
        <v>0</v>
      </c>
      <c r="J127" s="22"/>
    </row>
    <row r="128" customFormat="false" ht="15" hidden="false" customHeight="false" outlineLevel="0" collapsed="false">
      <c r="A128" s="21"/>
      <c r="B128" s="22"/>
      <c r="C128" s="22"/>
      <c r="D128" s="23"/>
      <c r="E128" s="20" t="str">
        <f aca="false">IF($A128="","",IF($C128="Borç",-$D128,$D128))</f>
        <v/>
      </c>
      <c r="F128" s="18" t="str">
        <f aca="false">IF($A128="","",IFERROR(IF(INDEX(tblOrtak[Ortak Adı],ROW($A128)-ROW(tblOrtak[[#Headers],[Tarih]])-1)=$B128,INDEX(tblOrtak[Bakiye (₺)],ROW($A128)-ROW(tblOrtak[[#Headers],[Tarih]])-1)+$E128,$E128),$E128))</f>
        <v/>
      </c>
      <c r="G128" s="19" t="str">
        <f aca="false">IF($A128="","",IFERROR(IF(INDEX(tblOrtak[Tarih],ROW($A128)-ROW(tblOrtak[[#Headers],[Tarih]])+1)=0,RaporTarihi,INDEX(tblOrtak[Tarih],ROW($A128)-ROW(tblOrtak[[#Headers],[Tarih]])+1))-$A128,RaporTarihi-$A128))</f>
        <v/>
      </c>
      <c r="H128" s="18" t="n">
        <f aca="false">IF($F128="",0,ROUND($F128*$G128,0))</f>
        <v>0</v>
      </c>
      <c r="I128" s="18" t="n">
        <f aca="false">IF($H128="",0,ROUND($H128*AdatFaizOran/AdatYilGunSayisi,2))</f>
        <v>0</v>
      </c>
      <c r="J128" s="22"/>
    </row>
    <row r="129" customFormat="false" ht="15" hidden="false" customHeight="false" outlineLevel="0" collapsed="false">
      <c r="A129" s="21"/>
      <c r="B129" s="22"/>
      <c r="C129" s="22"/>
      <c r="D129" s="23"/>
      <c r="E129" s="20" t="str">
        <f aca="false">IF($A129="","",IF($C129="Borç",-$D129,$D129))</f>
        <v/>
      </c>
      <c r="F129" s="18" t="str">
        <f aca="false">IF($A129="","",IFERROR(IF(INDEX(tblOrtak[Ortak Adı],ROW($A129)-ROW(tblOrtak[[#Headers],[Tarih]])-1)=$B129,INDEX(tblOrtak[Bakiye (₺)],ROW($A129)-ROW(tblOrtak[[#Headers],[Tarih]])-1)+$E129,$E129),$E129))</f>
        <v/>
      </c>
      <c r="G129" s="19" t="str">
        <f aca="false">IF($A129="","",IFERROR(IF(INDEX(tblOrtak[Tarih],ROW($A129)-ROW(tblOrtak[[#Headers],[Tarih]])+1)=0,RaporTarihi,INDEX(tblOrtak[Tarih],ROW($A129)-ROW(tblOrtak[[#Headers],[Tarih]])+1))-$A129,RaporTarihi-$A129))</f>
        <v/>
      </c>
      <c r="H129" s="18" t="n">
        <f aca="false">IF($F129="",0,ROUND($F129*$G129,0))</f>
        <v>0</v>
      </c>
      <c r="I129" s="18" t="n">
        <f aca="false">IF($H129="",0,ROUND($H129*AdatFaizOran/AdatYilGunSayisi,2))</f>
        <v>0</v>
      </c>
      <c r="J129" s="22"/>
    </row>
    <row r="130" customFormat="false" ht="15" hidden="false" customHeight="false" outlineLevel="0" collapsed="false">
      <c r="A130" s="21"/>
      <c r="B130" s="22"/>
      <c r="C130" s="22"/>
      <c r="D130" s="23"/>
      <c r="E130" s="20" t="str">
        <f aca="false">IF($A130="","",IF($C130="Borç",-$D130,$D130))</f>
        <v/>
      </c>
      <c r="F130" s="18" t="str">
        <f aca="false">IF($A130="","",IFERROR(IF(INDEX(tblOrtak[Ortak Adı],ROW($A130)-ROW(tblOrtak[[#Headers],[Tarih]])-1)=$B130,INDEX(tblOrtak[Bakiye (₺)],ROW($A130)-ROW(tblOrtak[[#Headers],[Tarih]])-1)+$E130,$E130),$E130))</f>
        <v/>
      </c>
      <c r="G130" s="19" t="str">
        <f aca="false">IF($A130="","",IFERROR(IF(INDEX(tblOrtak[Tarih],ROW($A130)-ROW(tblOrtak[[#Headers],[Tarih]])+1)=0,RaporTarihi,INDEX(tblOrtak[Tarih],ROW($A130)-ROW(tblOrtak[[#Headers],[Tarih]])+1))-$A130,RaporTarihi-$A130))</f>
        <v/>
      </c>
      <c r="H130" s="18" t="n">
        <f aca="false">IF($F130="",0,ROUND($F130*$G130,0))</f>
        <v>0</v>
      </c>
      <c r="I130" s="18" t="n">
        <f aca="false">IF($H130="",0,ROUND($H130*AdatFaizOran/AdatYilGunSayisi,2))</f>
        <v>0</v>
      </c>
      <c r="J130" s="22"/>
    </row>
    <row r="131" customFormat="false" ht="15" hidden="false" customHeight="false" outlineLevel="0" collapsed="false">
      <c r="A131" s="21"/>
      <c r="B131" s="22"/>
      <c r="C131" s="22"/>
      <c r="D131" s="23"/>
      <c r="E131" s="20" t="str">
        <f aca="false">IF($A131="","",IF($C131="Borç",-$D131,$D131))</f>
        <v/>
      </c>
      <c r="F131" s="18" t="str">
        <f aca="false">IF($A131="","",IFERROR(IF(INDEX(tblOrtak[Ortak Adı],ROW($A131)-ROW(tblOrtak[[#Headers],[Tarih]])-1)=$B131,INDEX(tblOrtak[Bakiye (₺)],ROW($A131)-ROW(tblOrtak[[#Headers],[Tarih]])-1)+$E131,$E131),$E131))</f>
        <v/>
      </c>
      <c r="G131" s="19" t="str">
        <f aca="false">IF($A131="","",IFERROR(IF(INDEX(tblOrtak[Tarih],ROW($A131)-ROW(tblOrtak[[#Headers],[Tarih]])+1)=0,RaporTarihi,INDEX(tblOrtak[Tarih],ROW($A131)-ROW(tblOrtak[[#Headers],[Tarih]])+1))-$A131,RaporTarihi-$A131))</f>
        <v/>
      </c>
      <c r="H131" s="18" t="n">
        <f aca="false">IF($F131="",0,ROUND($F131*$G131,0))</f>
        <v>0</v>
      </c>
      <c r="I131" s="18" t="n">
        <f aca="false">IF($H131="",0,ROUND($H131*AdatFaizOran/AdatYilGunSayisi,2))</f>
        <v>0</v>
      </c>
      <c r="J131" s="22"/>
    </row>
    <row r="132" customFormat="false" ht="15" hidden="false" customHeight="false" outlineLevel="0" collapsed="false">
      <c r="A132" s="21"/>
      <c r="B132" s="22"/>
      <c r="C132" s="22"/>
      <c r="D132" s="23"/>
      <c r="E132" s="20" t="str">
        <f aca="false">IF($A132="","",IF($C132="Borç",-$D132,$D132))</f>
        <v/>
      </c>
      <c r="F132" s="18" t="str">
        <f aca="false">IF($A132="","",IFERROR(IF(INDEX(tblOrtak[Ortak Adı],ROW($A132)-ROW(tblOrtak[[#Headers],[Tarih]])-1)=$B132,INDEX(tblOrtak[Bakiye (₺)],ROW($A132)-ROW(tblOrtak[[#Headers],[Tarih]])-1)+$E132,$E132),$E132))</f>
        <v/>
      </c>
      <c r="G132" s="19" t="str">
        <f aca="false">IF($A132="","",IFERROR(IF(INDEX(tblOrtak[Tarih],ROW($A132)-ROW(tblOrtak[[#Headers],[Tarih]])+1)=0,RaporTarihi,INDEX(tblOrtak[Tarih],ROW($A132)-ROW(tblOrtak[[#Headers],[Tarih]])+1))-$A132,RaporTarihi-$A132))</f>
        <v/>
      </c>
      <c r="H132" s="18" t="n">
        <f aca="false">IF($F132="",0,ROUND($F132*$G132,0))</f>
        <v>0</v>
      </c>
      <c r="I132" s="18" t="n">
        <f aca="false">IF($H132="",0,ROUND($H132*AdatFaizOran/AdatYilGunSayisi,2))</f>
        <v>0</v>
      </c>
      <c r="J132" s="22"/>
    </row>
    <row r="133" customFormat="false" ht="15" hidden="false" customHeight="false" outlineLevel="0" collapsed="false">
      <c r="A133" s="21"/>
      <c r="B133" s="22"/>
      <c r="C133" s="22"/>
      <c r="D133" s="23"/>
      <c r="E133" s="20" t="str">
        <f aca="false">IF($A133="","",IF($C133="Borç",-$D133,$D133))</f>
        <v/>
      </c>
      <c r="F133" s="18" t="str">
        <f aca="false">IF($A133="","",IFERROR(IF(INDEX(tblOrtak[Ortak Adı],ROW($A133)-ROW(tblOrtak[[#Headers],[Tarih]])-1)=$B133,INDEX(tblOrtak[Bakiye (₺)],ROW($A133)-ROW(tblOrtak[[#Headers],[Tarih]])-1)+$E133,$E133),$E133))</f>
        <v/>
      </c>
      <c r="G133" s="19" t="str">
        <f aca="false">IF($A133="","",IFERROR(IF(INDEX(tblOrtak[Tarih],ROW($A133)-ROW(tblOrtak[[#Headers],[Tarih]])+1)=0,RaporTarihi,INDEX(tblOrtak[Tarih],ROW($A133)-ROW(tblOrtak[[#Headers],[Tarih]])+1))-$A133,RaporTarihi-$A133))</f>
        <v/>
      </c>
      <c r="H133" s="18" t="n">
        <f aca="false">IF($F133="",0,ROUND($F133*$G133,0))</f>
        <v>0</v>
      </c>
      <c r="I133" s="18" t="n">
        <f aca="false">IF($H133="",0,ROUND($H133*AdatFaizOran/AdatYilGunSayisi,2))</f>
        <v>0</v>
      </c>
      <c r="J133" s="22"/>
    </row>
    <row r="134" customFormat="false" ht="15" hidden="false" customHeight="false" outlineLevel="0" collapsed="false">
      <c r="A134" s="21"/>
      <c r="B134" s="22"/>
      <c r="C134" s="22"/>
      <c r="D134" s="23"/>
      <c r="E134" s="20" t="str">
        <f aca="false">IF($A134="","",IF($C134="Borç",-$D134,$D134))</f>
        <v/>
      </c>
      <c r="F134" s="18" t="str">
        <f aca="false">IF($A134="","",IFERROR(IF(INDEX(tblOrtak[Ortak Adı],ROW($A134)-ROW(tblOrtak[[#Headers],[Tarih]])-1)=$B134,INDEX(tblOrtak[Bakiye (₺)],ROW($A134)-ROW(tblOrtak[[#Headers],[Tarih]])-1)+$E134,$E134),$E134))</f>
        <v/>
      </c>
      <c r="G134" s="19" t="str">
        <f aca="false">IF($A134="","",IFERROR(IF(INDEX(tblOrtak[Tarih],ROW($A134)-ROW(tblOrtak[[#Headers],[Tarih]])+1)=0,RaporTarihi,INDEX(tblOrtak[Tarih],ROW($A134)-ROW(tblOrtak[[#Headers],[Tarih]])+1))-$A134,RaporTarihi-$A134))</f>
        <v/>
      </c>
      <c r="H134" s="18" t="n">
        <f aca="false">IF($F134="",0,ROUND($F134*$G134,0))</f>
        <v>0</v>
      </c>
      <c r="I134" s="18" t="n">
        <f aca="false">IF($H134="",0,ROUND($H134*AdatFaizOran/AdatYilGunSayisi,2))</f>
        <v>0</v>
      </c>
      <c r="J134" s="22"/>
    </row>
    <row r="135" customFormat="false" ht="15" hidden="false" customHeight="false" outlineLevel="0" collapsed="false">
      <c r="A135" s="21"/>
      <c r="B135" s="22"/>
      <c r="C135" s="22"/>
      <c r="D135" s="23"/>
      <c r="E135" s="20" t="str">
        <f aca="false">IF($A135="","",IF($C135="Borç",-$D135,$D135))</f>
        <v/>
      </c>
      <c r="F135" s="18" t="str">
        <f aca="false">IF($A135="","",IFERROR(IF(INDEX(tblOrtak[Ortak Adı],ROW($A135)-ROW(tblOrtak[[#Headers],[Tarih]])-1)=$B135,INDEX(tblOrtak[Bakiye (₺)],ROW($A135)-ROW(tblOrtak[[#Headers],[Tarih]])-1)+$E135,$E135),$E135))</f>
        <v/>
      </c>
      <c r="G135" s="19" t="str">
        <f aca="false">IF($A135="","",IFERROR(IF(INDEX(tblOrtak[Tarih],ROW($A135)-ROW(tblOrtak[[#Headers],[Tarih]])+1)=0,RaporTarihi,INDEX(tblOrtak[Tarih],ROW($A135)-ROW(tblOrtak[[#Headers],[Tarih]])+1))-$A135,RaporTarihi-$A135))</f>
        <v/>
      </c>
      <c r="H135" s="18" t="n">
        <f aca="false">IF($F135="",0,ROUND($F135*$G135,0))</f>
        <v>0</v>
      </c>
      <c r="I135" s="18" t="n">
        <f aca="false">IF($H135="",0,ROUND($H135*AdatFaizOran/AdatYilGunSayisi,2))</f>
        <v>0</v>
      </c>
      <c r="J135" s="22"/>
    </row>
    <row r="136" customFormat="false" ht="15" hidden="false" customHeight="false" outlineLevel="0" collapsed="false">
      <c r="A136" s="21"/>
      <c r="B136" s="22"/>
      <c r="C136" s="22"/>
      <c r="D136" s="23"/>
      <c r="E136" s="20" t="str">
        <f aca="false">IF($A136="","",IF($C136="Borç",-$D136,$D136))</f>
        <v/>
      </c>
      <c r="F136" s="18" t="str">
        <f aca="false">IF($A136="","",IFERROR(IF(INDEX(tblOrtak[Ortak Adı],ROW($A136)-ROW(tblOrtak[[#Headers],[Tarih]])-1)=$B136,INDEX(tblOrtak[Bakiye (₺)],ROW($A136)-ROW(tblOrtak[[#Headers],[Tarih]])-1)+$E136,$E136),$E136))</f>
        <v/>
      </c>
      <c r="G136" s="19" t="str">
        <f aca="false">IF($A136="","",IFERROR(IF(INDEX(tblOrtak[Tarih],ROW($A136)-ROW(tblOrtak[[#Headers],[Tarih]])+1)=0,RaporTarihi,INDEX(tblOrtak[Tarih],ROW($A136)-ROW(tblOrtak[[#Headers],[Tarih]])+1))-$A136,RaporTarihi-$A136))</f>
        <v/>
      </c>
      <c r="H136" s="18" t="n">
        <f aca="false">IF($F136="",0,ROUND($F136*$G136,0))</f>
        <v>0</v>
      </c>
      <c r="I136" s="18" t="n">
        <f aca="false">IF($H136="",0,ROUND($H136*AdatFaizOran/AdatYilGunSayisi,2))</f>
        <v>0</v>
      </c>
      <c r="J136" s="22"/>
    </row>
    <row r="137" customFormat="false" ht="15" hidden="false" customHeight="false" outlineLevel="0" collapsed="false">
      <c r="A137" s="21"/>
      <c r="B137" s="22"/>
      <c r="C137" s="22"/>
      <c r="D137" s="23"/>
      <c r="E137" s="20" t="str">
        <f aca="false">IF($A137="","",IF($C137="Borç",-$D137,$D137))</f>
        <v/>
      </c>
      <c r="F137" s="18" t="str">
        <f aca="false">IF($A137="","",IFERROR(IF(INDEX(tblOrtak[Ortak Adı],ROW($A137)-ROW(tblOrtak[[#Headers],[Tarih]])-1)=$B137,INDEX(tblOrtak[Bakiye (₺)],ROW($A137)-ROW(tblOrtak[[#Headers],[Tarih]])-1)+$E137,$E137),$E137))</f>
        <v/>
      </c>
      <c r="G137" s="19" t="str">
        <f aca="false">IF($A137="","",IFERROR(IF(INDEX(tblOrtak[Tarih],ROW($A137)-ROW(tblOrtak[[#Headers],[Tarih]])+1)=0,RaporTarihi,INDEX(tblOrtak[Tarih],ROW($A137)-ROW(tblOrtak[[#Headers],[Tarih]])+1))-$A137,RaporTarihi-$A137))</f>
        <v/>
      </c>
      <c r="H137" s="18" t="n">
        <f aca="false">IF($F137="",0,ROUND($F137*$G137,0))</f>
        <v>0</v>
      </c>
      <c r="I137" s="18" t="n">
        <f aca="false">IF($H137="",0,ROUND($H137*AdatFaizOran/AdatYilGunSayisi,2))</f>
        <v>0</v>
      </c>
      <c r="J137" s="22"/>
    </row>
    <row r="138" customFormat="false" ht="15" hidden="false" customHeight="false" outlineLevel="0" collapsed="false">
      <c r="A138" s="21"/>
      <c r="B138" s="22"/>
      <c r="C138" s="22"/>
      <c r="D138" s="23"/>
      <c r="E138" s="20" t="str">
        <f aca="false">IF($A138="","",IF($C138="Borç",-$D138,$D138))</f>
        <v/>
      </c>
      <c r="F138" s="18" t="str">
        <f aca="false">IF($A138="","",IFERROR(IF(INDEX(tblOrtak[Ortak Adı],ROW($A138)-ROW(tblOrtak[[#Headers],[Tarih]])-1)=$B138,INDEX(tblOrtak[Bakiye (₺)],ROW($A138)-ROW(tblOrtak[[#Headers],[Tarih]])-1)+$E138,$E138),$E138))</f>
        <v/>
      </c>
      <c r="G138" s="19" t="str">
        <f aca="false">IF($A138="","",IFERROR(IF(INDEX(tblOrtak[Tarih],ROW($A138)-ROW(tblOrtak[[#Headers],[Tarih]])+1)=0,RaporTarihi,INDEX(tblOrtak[Tarih],ROW($A138)-ROW(tblOrtak[[#Headers],[Tarih]])+1))-$A138,RaporTarihi-$A138))</f>
        <v/>
      </c>
      <c r="H138" s="18" t="n">
        <f aca="false">IF($F138="",0,ROUND($F138*$G138,0))</f>
        <v>0</v>
      </c>
      <c r="I138" s="18" t="n">
        <f aca="false">IF($H138="",0,ROUND($H138*AdatFaizOran/AdatYilGunSayisi,2))</f>
        <v>0</v>
      </c>
      <c r="J138" s="22"/>
    </row>
    <row r="139" customFormat="false" ht="15" hidden="false" customHeight="false" outlineLevel="0" collapsed="false">
      <c r="A139" s="21"/>
      <c r="B139" s="22"/>
      <c r="C139" s="22"/>
      <c r="D139" s="23"/>
      <c r="E139" s="20" t="str">
        <f aca="false">IF($A139="","",IF($C139="Borç",-$D139,$D139))</f>
        <v/>
      </c>
      <c r="F139" s="18" t="str">
        <f aca="false">IF($A139="","",IFERROR(IF(INDEX(tblOrtak[Ortak Adı],ROW($A139)-ROW(tblOrtak[[#Headers],[Tarih]])-1)=$B139,INDEX(tblOrtak[Bakiye (₺)],ROW($A139)-ROW(tblOrtak[[#Headers],[Tarih]])-1)+$E139,$E139),$E139))</f>
        <v/>
      </c>
      <c r="G139" s="19" t="str">
        <f aca="false">IF($A139="","",IFERROR(IF(INDEX(tblOrtak[Tarih],ROW($A139)-ROW(tblOrtak[[#Headers],[Tarih]])+1)=0,RaporTarihi,INDEX(tblOrtak[Tarih],ROW($A139)-ROW(tblOrtak[[#Headers],[Tarih]])+1))-$A139,RaporTarihi-$A139))</f>
        <v/>
      </c>
      <c r="H139" s="18" t="n">
        <f aca="false">IF($F139="",0,ROUND($F139*$G139,0))</f>
        <v>0</v>
      </c>
      <c r="I139" s="18" t="n">
        <f aca="false">IF($H139="",0,ROUND($H139*AdatFaizOran/AdatYilGunSayisi,2))</f>
        <v>0</v>
      </c>
      <c r="J139" s="22"/>
    </row>
    <row r="140" customFormat="false" ht="15" hidden="false" customHeight="false" outlineLevel="0" collapsed="false">
      <c r="A140" s="21"/>
      <c r="B140" s="22"/>
      <c r="C140" s="22"/>
      <c r="D140" s="23"/>
      <c r="E140" s="20" t="str">
        <f aca="false">IF($A140="","",IF($C140="Borç",-$D140,$D140))</f>
        <v/>
      </c>
      <c r="F140" s="18" t="str">
        <f aca="false">IF($A140="","",IFERROR(IF(INDEX(tblOrtak[Ortak Adı],ROW($A140)-ROW(tblOrtak[[#Headers],[Tarih]])-1)=$B140,INDEX(tblOrtak[Bakiye (₺)],ROW($A140)-ROW(tblOrtak[[#Headers],[Tarih]])-1)+$E140,$E140),$E140))</f>
        <v/>
      </c>
      <c r="G140" s="19" t="str">
        <f aca="false">IF($A140="","",IFERROR(IF(INDEX(tblOrtak[Tarih],ROW($A140)-ROW(tblOrtak[[#Headers],[Tarih]])+1)=0,RaporTarihi,INDEX(tblOrtak[Tarih],ROW($A140)-ROW(tblOrtak[[#Headers],[Tarih]])+1))-$A140,RaporTarihi-$A140))</f>
        <v/>
      </c>
      <c r="H140" s="18" t="n">
        <f aca="false">IF($F140="",0,ROUND($F140*$G140,0))</f>
        <v>0</v>
      </c>
      <c r="I140" s="18" t="n">
        <f aca="false">IF($H140="",0,ROUND($H140*AdatFaizOran/AdatYilGunSayisi,2))</f>
        <v>0</v>
      </c>
      <c r="J140" s="22"/>
    </row>
    <row r="141" customFormat="false" ht="15" hidden="false" customHeight="false" outlineLevel="0" collapsed="false">
      <c r="A141" s="21"/>
      <c r="B141" s="22"/>
      <c r="C141" s="22"/>
      <c r="D141" s="23"/>
      <c r="E141" s="20" t="str">
        <f aca="false">IF($A141="","",IF($C141="Borç",-$D141,$D141))</f>
        <v/>
      </c>
      <c r="F141" s="18" t="str">
        <f aca="false">IF($A141="","",IFERROR(IF(INDEX(tblOrtak[Ortak Adı],ROW($A141)-ROW(tblOrtak[[#Headers],[Tarih]])-1)=$B141,INDEX(tblOrtak[Bakiye (₺)],ROW($A141)-ROW(tblOrtak[[#Headers],[Tarih]])-1)+$E141,$E141),$E141))</f>
        <v/>
      </c>
      <c r="G141" s="19" t="str">
        <f aca="false">IF($A141="","",IFERROR(IF(INDEX(tblOrtak[Tarih],ROW($A141)-ROW(tblOrtak[[#Headers],[Tarih]])+1)=0,RaporTarihi,INDEX(tblOrtak[Tarih],ROW($A141)-ROW(tblOrtak[[#Headers],[Tarih]])+1))-$A141,RaporTarihi-$A141))</f>
        <v/>
      </c>
      <c r="H141" s="18" t="n">
        <f aca="false">IF($F141="",0,ROUND($F141*$G141,0))</f>
        <v>0</v>
      </c>
      <c r="I141" s="18" t="n">
        <f aca="false">IF($H141="",0,ROUND($H141*AdatFaizOran/AdatYilGunSayisi,2))</f>
        <v>0</v>
      </c>
      <c r="J141" s="22"/>
    </row>
    <row r="142" customFormat="false" ht="15" hidden="false" customHeight="false" outlineLevel="0" collapsed="false">
      <c r="A142" s="21"/>
      <c r="B142" s="22"/>
      <c r="C142" s="22"/>
      <c r="D142" s="23"/>
      <c r="E142" s="20" t="str">
        <f aca="false">IF($A142="","",IF($C142="Borç",-$D142,$D142))</f>
        <v/>
      </c>
      <c r="F142" s="18" t="str">
        <f aca="false">IF($A142="","",IFERROR(IF(INDEX(tblOrtak[Ortak Adı],ROW($A142)-ROW(tblOrtak[[#Headers],[Tarih]])-1)=$B142,INDEX(tblOrtak[Bakiye (₺)],ROW($A142)-ROW(tblOrtak[[#Headers],[Tarih]])-1)+$E142,$E142),$E142))</f>
        <v/>
      </c>
      <c r="G142" s="19" t="str">
        <f aca="false">IF($A142="","",IFERROR(IF(INDEX(tblOrtak[Tarih],ROW($A142)-ROW(tblOrtak[[#Headers],[Tarih]])+1)=0,RaporTarihi,INDEX(tblOrtak[Tarih],ROW($A142)-ROW(tblOrtak[[#Headers],[Tarih]])+1))-$A142,RaporTarihi-$A142))</f>
        <v/>
      </c>
      <c r="H142" s="18" t="n">
        <f aca="false">IF($F142="",0,ROUND($F142*$G142,0))</f>
        <v>0</v>
      </c>
      <c r="I142" s="18" t="n">
        <f aca="false">IF($H142="",0,ROUND($H142*AdatFaizOran/AdatYilGunSayisi,2))</f>
        <v>0</v>
      </c>
      <c r="J142" s="22"/>
    </row>
    <row r="143" customFormat="false" ht="15" hidden="false" customHeight="false" outlineLevel="0" collapsed="false">
      <c r="A143" s="21"/>
      <c r="B143" s="22"/>
      <c r="C143" s="22"/>
      <c r="D143" s="23"/>
      <c r="E143" s="20" t="str">
        <f aca="false">IF($A143="","",IF($C143="Borç",-$D143,$D143))</f>
        <v/>
      </c>
      <c r="F143" s="18" t="str">
        <f aca="false">IF($A143="","",IFERROR(IF(INDEX(tblOrtak[Ortak Adı],ROW($A143)-ROW(tblOrtak[[#Headers],[Tarih]])-1)=$B143,INDEX(tblOrtak[Bakiye (₺)],ROW($A143)-ROW(tblOrtak[[#Headers],[Tarih]])-1)+$E143,$E143),$E143))</f>
        <v/>
      </c>
      <c r="G143" s="19" t="str">
        <f aca="false">IF($A143="","",IFERROR(IF(INDEX(tblOrtak[Tarih],ROW($A143)-ROW(tblOrtak[[#Headers],[Tarih]])+1)=0,RaporTarihi,INDEX(tblOrtak[Tarih],ROW($A143)-ROW(tblOrtak[[#Headers],[Tarih]])+1))-$A143,RaporTarihi-$A143))</f>
        <v/>
      </c>
      <c r="H143" s="18" t="n">
        <f aca="false">IF($F143="",0,ROUND($F143*$G143,0))</f>
        <v>0</v>
      </c>
      <c r="I143" s="18" t="n">
        <f aca="false">IF($H143="",0,ROUND($H143*AdatFaizOran/AdatYilGunSayisi,2))</f>
        <v>0</v>
      </c>
      <c r="J143" s="22"/>
    </row>
    <row r="144" customFormat="false" ht="15" hidden="false" customHeight="false" outlineLevel="0" collapsed="false">
      <c r="A144" s="21"/>
      <c r="B144" s="22"/>
      <c r="C144" s="22"/>
      <c r="D144" s="23"/>
      <c r="E144" s="20" t="str">
        <f aca="false">IF($A144="","",IF($C144="Borç",-$D144,$D144))</f>
        <v/>
      </c>
      <c r="F144" s="18" t="str">
        <f aca="false">IF($A144="","",IFERROR(IF(INDEX(tblOrtak[Ortak Adı],ROW($A144)-ROW(tblOrtak[[#Headers],[Tarih]])-1)=$B144,INDEX(tblOrtak[Bakiye (₺)],ROW($A144)-ROW(tblOrtak[[#Headers],[Tarih]])-1)+$E144,$E144),$E144))</f>
        <v/>
      </c>
      <c r="G144" s="19" t="str">
        <f aca="false">IF($A144="","",IFERROR(IF(INDEX(tblOrtak[Tarih],ROW($A144)-ROW(tblOrtak[[#Headers],[Tarih]])+1)=0,RaporTarihi,INDEX(tblOrtak[Tarih],ROW($A144)-ROW(tblOrtak[[#Headers],[Tarih]])+1))-$A144,RaporTarihi-$A144))</f>
        <v/>
      </c>
      <c r="H144" s="18" t="n">
        <f aca="false">IF($F144="",0,ROUND($F144*$G144,0))</f>
        <v>0</v>
      </c>
      <c r="I144" s="18" t="n">
        <f aca="false">IF($H144="",0,ROUND($H144*AdatFaizOran/AdatYilGunSayisi,2))</f>
        <v>0</v>
      </c>
      <c r="J144" s="22"/>
    </row>
    <row r="145" customFormat="false" ht="15" hidden="false" customHeight="false" outlineLevel="0" collapsed="false">
      <c r="A145" s="21"/>
      <c r="B145" s="22"/>
      <c r="C145" s="22"/>
      <c r="D145" s="23"/>
      <c r="E145" s="20" t="str">
        <f aca="false">IF($A145="","",IF($C145="Borç",-$D145,$D145))</f>
        <v/>
      </c>
      <c r="F145" s="18" t="str">
        <f aca="false">IF($A145="","",IFERROR(IF(INDEX(tblOrtak[Ortak Adı],ROW($A145)-ROW(tblOrtak[[#Headers],[Tarih]])-1)=$B145,INDEX(tblOrtak[Bakiye (₺)],ROW($A145)-ROW(tblOrtak[[#Headers],[Tarih]])-1)+$E145,$E145),$E145))</f>
        <v/>
      </c>
      <c r="G145" s="19" t="str">
        <f aca="false">IF($A145="","",IFERROR(IF(INDEX(tblOrtak[Tarih],ROW($A145)-ROW(tblOrtak[[#Headers],[Tarih]])+1)=0,RaporTarihi,INDEX(tblOrtak[Tarih],ROW($A145)-ROW(tblOrtak[[#Headers],[Tarih]])+1))-$A145,RaporTarihi-$A145))</f>
        <v/>
      </c>
      <c r="H145" s="18" t="n">
        <f aca="false">IF($F145="",0,ROUND($F145*$G145,0))</f>
        <v>0</v>
      </c>
      <c r="I145" s="18" t="n">
        <f aca="false">IF($H145="",0,ROUND($H145*AdatFaizOran/AdatYilGunSayisi,2))</f>
        <v>0</v>
      </c>
      <c r="J145" s="22"/>
    </row>
    <row r="146" customFormat="false" ht="15" hidden="false" customHeight="false" outlineLevel="0" collapsed="false">
      <c r="A146" s="21"/>
      <c r="B146" s="22"/>
      <c r="C146" s="22"/>
      <c r="D146" s="23"/>
      <c r="E146" s="20" t="str">
        <f aca="false">IF($A146="","",IF($C146="Borç",-$D146,$D146))</f>
        <v/>
      </c>
      <c r="F146" s="18" t="str">
        <f aca="false">IF($A146="","",IFERROR(IF(INDEX(tblOrtak[Ortak Adı],ROW($A146)-ROW(tblOrtak[[#Headers],[Tarih]])-1)=$B146,INDEX(tblOrtak[Bakiye (₺)],ROW($A146)-ROW(tblOrtak[[#Headers],[Tarih]])-1)+$E146,$E146),$E146))</f>
        <v/>
      </c>
      <c r="G146" s="19" t="str">
        <f aca="false">IF($A146="","",IFERROR(IF(INDEX(tblOrtak[Tarih],ROW($A146)-ROW(tblOrtak[[#Headers],[Tarih]])+1)=0,RaporTarihi,INDEX(tblOrtak[Tarih],ROW($A146)-ROW(tblOrtak[[#Headers],[Tarih]])+1))-$A146,RaporTarihi-$A146))</f>
        <v/>
      </c>
      <c r="H146" s="18" t="n">
        <f aca="false">IF($F146="",0,ROUND($F146*$G146,0))</f>
        <v>0</v>
      </c>
      <c r="I146" s="18" t="n">
        <f aca="false">IF($H146="",0,ROUND($H146*AdatFaizOran/AdatYilGunSayisi,2))</f>
        <v>0</v>
      </c>
      <c r="J146" s="22"/>
    </row>
    <row r="147" customFormat="false" ht="15" hidden="false" customHeight="false" outlineLevel="0" collapsed="false">
      <c r="A147" s="21"/>
      <c r="B147" s="22"/>
      <c r="C147" s="22"/>
      <c r="D147" s="23"/>
      <c r="E147" s="20" t="str">
        <f aca="false">IF($A147="","",IF($C147="Borç",-$D147,$D147))</f>
        <v/>
      </c>
      <c r="F147" s="18" t="str">
        <f aca="false">IF($A147="","",IFERROR(IF(INDEX(tblOrtak[Ortak Adı],ROW($A147)-ROW(tblOrtak[[#Headers],[Tarih]])-1)=$B147,INDEX(tblOrtak[Bakiye (₺)],ROW($A147)-ROW(tblOrtak[[#Headers],[Tarih]])-1)+$E147,$E147),$E147))</f>
        <v/>
      </c>
      <c r="G147" s="19" t="str">
        <f aca="false">IF($A147="","",IFERROR(IF(INDEX(tblOrtak[Tarih],ROW($A147)-ROW(tblOrtak[[#Headers],[Tarih]])+1)=0,RaporTarihi,INDEX(tblOrtak[Tarih],ROW($A147)-ROW(tblOrtak[[#Headers],[Tarih]])+1))-$A147,RaporTarihi-$A147))</f>
        <v/>
      </c>
      <c r="H147" s="18" t="n">
        <f aca="false">IF($F147="",0,ROUND($F147*$G147,0))</f>
        <v>0</v>
      </c>
      <c r="I147" s="18" t="n">
        <f aca="false">IF($H147="",0,ROUND($H147*AdatFaizOran/AdatYilGunSayisi,2))</f>
        <v>0</v>
      </c>
      <c r="J147" s="22"/>
    </row>
    <row r="148" customFormat="false" ht="15" hidden="false" customHeight="false" outlineLevel="0" collapsed="false">
      <c r="A148" s="21"/>
      <c r="B148" s="22"/>
      <c r="C148" s="22"/>
      <c r="D148" s="23"/>
      <c r="E148" s="20" t="str">
        <f aca="false">IF($A148="","",IF($C148="Borç",-$D148,$D148))</f>
        <v/>
      </c>
      <c r="F148" s="18" t="str">
        <f aca="false">IF($A148="","",IFERROR(IF(INDEX(tblOrtak[Ortak Adı],ROW($A148)-ROW(tblOrtak[[#Headers],[Tarih]])-1)=$B148,INDEX(tblOrtak[Bakiye (₺)],ROW($A148)-ROW(tblOrtak[[#Headers],[Tarih]])-1)+$E148,$E148),$E148))</f>
        <v/>
      </c>
      <c r="G148" s="19" t="str">
        <f aca="false">IF($A148="","",IFERROR(IF(INDEX(tblOrtak[Tarih],ROW($A148)-ROW(tblOrtak[[#Headers],[Tarih]])+1)=0,RaporTarihi,INDEX(tblOrtak[Tarih],ROW($A148)-ROW(tblOrtak[[#Headers],[Tarih]])+1))-$A148,RaporTarihi-$A148))</f>
        <v/>
      </c>
      <c r="H148" s="18" t="n">
        <f aca="false">IF($F148="",0,ROUND($F148*$G148,0))</f>
        <v>0</v>
      </c>
      <c r="I148" s="18" t="n">
        <f aca="false">IF($H148="",0,ROUND($H148*AdatFaizOran/AdatYilGunSayisi,2))</f>
        <v>0</v>
      </c>
      <c r="J148" s="22"/>
    </row>
    <row r="149" customFormat="false" ht="15" hidden="false" customHeight="false" outlineLevel="0" collapsed="false">
      <c r="A149" s="21"/>
      <c r="B149" s="22"/>
      <c r="C149" s="22"/>
      <c r="D149" s="23"/>
      <c r="E149" s="20" t="str">
        <f aca="false">IF($A149="","",IF($C149="Borç",-$D149,$D149))</f>
        <v/>
      </c>
      <c r="F149" s="18" t="str">
        <f aca="false">IF($A149="","",IFERROR(IF(INDEX(tblOrtak[Ortak Adı],ROW($A149)-ROW(tblOrtak[[#Headers],[Tarih]])-1)=$B149,INDEX(tblOrtak[Bakiye (₺)],ROW($A149)-ROW(tblOrtak[[#Headers],[Tarih]])-1)+$E149,$E149),$E149))</f>
        <v/>
      </c>
      <c r="G149" s="19" t="str">
        <f aca="false">IF($A149="","",IFERROR(IF(INDEX(tblOrtak[Tarih],ROW($A149)-ROW(tblOrtak[[#Headers],[Tarih]])+1)=0,RaporTarihi,INDEX(tblOrtak[Tarih],ROW($A149)-ROW(tblOrtak[[#Headers],[Tarih]])+1))-$A149,RaporTarihi-$A149))</f>
        <v/>
      </c>
      <c r="H149" s="18" t="n">
        <f aca="false">IF($F149="",0,ROUND($F149*$G149,0))</f>
        <v>0</v>
      </c>
      <c r="I149" s="18" t="n">
        <f aca="false">IF($H149="",0,ROUND($H149*AdatFaizOran/AdatYilGunSayisi,2))</f>
        <v>0</v>
      </c>
      <c r="J149" s="22"/>
    </row>
    <row r="150" customFormat="false" ht="15" hidden="false" customHeight="false" outlineLevel="0" collapsed="false">
      <c r="A150" s="21"/>
      <c r="B150" s="22"/>
      <c r="C150" s="22"/>
      <c r="D150" s="23"/>
      <c r="E150" s="20" t="str">
        <f aca="false">IF($A150="","",IF($C150="Borç",-$D150,$D150))</f>
        <v/>
      </c>
      <c r="F150" s="18" t="str">
        <f aca="false">IF($A150="","",IFERROR(IF(INDEX(tblOrtak[Ortak Adı],ROW($A150)-ROW(tblOrtak[[#Headers],[Tarih]])-1)=$B150,INDEX(tblOrtak[Bakiye (₺)],ROW($A150)-ROW(tblOrtak[[#Headers],[Tarih]])-1)+$E150,$E150),$E150))</f>
        <v/>
      </c>
      <c r="G150" s="19" t="str">
        <f aca="false">IF($A150="","",IFERROR(IF(INDEX(tblOrtak[Tarih],ROW($A150)-ROW(tblOrtak[[#Headers],[Tarih]])+1)=0,RaporTarihi,INDEX(tblOrtak[Tarih],ROW($A150)-ROW(tblOrtak[[#Headers],[Tarih]])+1))-$A150,RaporTarihi-$A150))</f>
        <v/>
      </c>
      <c r="H150" s="18" t="n">
        <f aca="false">IF($F150="",0,ROUND($F150*$G150,0))</f>
        <v>0</v>
      </c>
      <c r="I150" s="18" t="n">
        <f aca="false">IF($H150="",0,ROUND($H150*AdatFaizOran/AdatYilGunSayisi,2))</f>
        <v>0</v>
      </c>
      <c r="J150" s="22"/>
    </row>
    <row r="151" customFormat="false" ht="15" hidden="false" customHeight="false" outlineLevel="0" collapsed="false">
      <c r="A151" s="21"/>
      <c r="B151" s="22"/>
      <c r="C151" s="22"/>
      <c r="D151" s="23"/>
      <c r="E151" s="20" t="str">
        <f aca="false">IF($A151="","",IF($C151="Borç",-$D151,$D151))</f>
        <v/>
      </c>
      <c r="F151" s="18" t="str">
        <f aca="false">IF($A151="","",IFERROR(IF(INDEX(tblOrtak[Ortak Adı],ROW($A151)-ROW(tblOrtak[[#Headers],[Tarih]])-1)=$B151,INDEX(tblOrtak[Bakiye (₺)],ROW($A151)-ROW(tblOrtak[[#Headers],[Tarih]])-1)+$E151,$E151),$E151))</f>
        <v/>
      </c>
      <c r="G151" s="19" t="str">
        <f aca="false">IF($A151="","",IFERROR(IF(INDEX(tblOrtak[Tarih],ROW($A151)-ROW(tblOrtak[[#Headers],[Tarih]])+1)=0,RaporTarihi,INDEX(tblOrtak[Tarih],ROW($A151)-ROW(tblOrtak[[#Headers],[Tarih]])+1))-$A151,RaporTarihi-$A151))</f>
        <v/>
      </c>
      <c r="H151" s="18" t="n">
        <f aca="false">IF($F151="",0,ROUND($F151*$G151,0))</f>
        <v>0</v>
      </c>
      <c r="I151" s="18" t="n">
        <f aca="false">IF($H151="",0,ROUND($H151*AdatFaizOran/AdatYilGunSayisi,2))</f>
        <v>0</v>
      </c>
      <c r="J151" s="22"/>
    </row>
    <row r="152" customFormat="false" ht="15" hidden="false" customHeight="false" outlineLevel="0" collapsed="false">
      <c r="A152" s="21"/>
      <c r="B152" s="22"/>
      <c r="C152" s="22"/>
      <c r="D152" s="23"/>
      <c r="E152" s="20" t="str">
        <f aca="false">IF($A152="","",IF($C152="Borç",-$D152,$D152))</f>
        <v/>
      </c>
      <c r="F152" s="18" t="str">
        <f aca="false">IF($A152="","",IFERROR(IF(INDEX(tblOrtak[Ortak Adı],ROW($A152)-ROW(tblOrtak[[#Headers],[Tarih]])-1)=$B152,INDEX(tblOrtak[Bakiye (₺)],ROW($A152)-ROW(tblOrtak[[#Headers],[Tarih]])-1)+$E152,$E152),$E152))</f>
        <v/>
      </c>
      <c r="G152" s="19" t="str">
        <f aca="false">IF($A152="","",IFERROR(IF(INDEX(tblOrtak[Tarih],ROW($A152)-ROW(tblOrtak[[#Headers],[Tarih]])+1)=0,RaporTarihi,INDEX(tblOrtak[Tarih],ROW($A152)-ROW(tblOrtak[[#Headers],[Tarih]])+1))-$A152,RaporTarihi-$A152))</f>
        <v/>
      </c>
      <c r="H152" s="18" t="n">
        <f aca="false">IF($F152="",0,ROUND($F152*$G152,0))</f>
        <v>0</v>
      </c>
      <c r="I152" s="18" t="n">
        <f aca="false">IF($H152="",0,ROUND($H152*AdatFaizOran/AdatYilGunSayisi,2))</f>
        <v>0</v>
      </c>
      <c r="J152" s="22"/>
    </row>
    <row r="153" customFormat="false" ht="15" hidden="false" customHeight="false" outlineLevel="0" collapsed="false">
      <c r="A153" s="21"/>
      <c r="B153" s="22"/>
      <c r="C153" s="22"/>
      <c r="D153" s="23"/>
      <c r="E153" s="20" t="str">
        <f aca="false">IF($A153="","",IF($C153="Borç",-$D153,$D153))</f>
        <v/>
      </c>
      <c r="F153" s="18" t="str">
        <f aca="false">IF($A153="","",IFERROR(IF(INDEX(tblOrtak[Ortak Adı],ROW($A153)-ROW(tblOrtak[[#Headers],[Tarih]])-1)=$B153,INDEX(tblOrtak[Bakiye (₺)],ROW($A153)-ROW(tblOrtak[[#Headers],[Tarih]])-1)+$E153,$E153),$E153))</f>
        <v/>
      </c>
      <c r="G153" s="19" t="str">
        <f aca="false">IF($A153="","",IFERROR(IF(INDEX(tblOrtak[Tarih],ROW($A153)-ROW(tblOrtak[[#Headers],[Tarih]])+1)=0,RaporTarihi,INDEX(tblOrtak[Tarih],ROW($A153)-ROW(tblOrtak[[#Headers],[Tarih]])+1))-$A153,RaporTarihi-$A153))</f>
        <v/>
      </c>
      <c r="H153" s="18" t="n">
        <f aca="false">IF($F153="",0,ROUND($F153*$G153,0))</f>
        <v>0</v>
      </c>
      <c r="I153" s="18" t="n">
        <f aca="false">IF($H153="",0,ROUND($H153*AdatFaizOran/AdatYilGunSayisi,2))</f>
        <v>0</v>
      </c>
      <c r="J153" s="22"/>
    </row>
    <row r="154" customFormat="false" ht="15" hidden="false" customHeight="false" outlineLevel="0" collapsed="false">
      <c r="A154" s="21"/>
      <c r="B154" s="22"/>
      <c r="C154" s="22"/>
      <c r="D154" s="23"/>
      <c r="E154" s="20" t="str">
        <f aca="false">IF($A154="","",IF($C154="Borç",-$D154,$D154))</f>
        <v/>
      </c>
      <c r="F154" s="18" t="str">
        <f aca="false">IF($A154="","",IFERROR(IF(INDEX(tblOrtak[Ortak Adı],ROW($A154)-ROW(tblOrtak[[#Headers],[Tarih]])-1)=$B154,INDEX(tblOrtak[Bakiye (₺)],ROW($A154)-ROW(tblOrtak[[#Headers],[Tarih]])-1)+$E154,$E154),$E154))</f>
        <v/>
      </c>
      <c r="G154" s="19" t="str">
        <f aca="false">IF($A154="","",IFERROR(IF(INDEX(tblOrtak[Tarih],ROW($A154)-ROW(tblOrtak[[#Headers],[Tarih]])+1)=0,RaporTarihi,INDEX(tblOrtak[Tarih],ROW($A154)-ROW(tblOrtak[[#Headers],[Tarih]])+1))-$A154,RaporTarihi-$A154))</f>
        <v/>
      </c>
      <c r="H154" s="18" t="n">
        <f aca="false">IF($F154="",0,ROUND($F154*$G154,0))</f>
        <v>0</v>
      </c>
      <c r="I154" s="18" t="n">
        <f aca="false">IF($H154="",0,ROUND($H154*AdatFaizOran/AdatYilGunSayisi,2))</f>
        <v>0</v>
      </c>
      <c r="J154" s="22"/>
    </row>
    <row r="155" customFormat="false" ht="15" hidden="false" customHeight="false" outlineLevel="0" collapsed="false">
      <c r="A155" s="21"/>
      <c r="B155" s="22"/>
      <c r="C155" s="22"/>
      <c r="D155" s="23"/>
      <c r="E155" s="20" t="str">
        <f aca="false">IF($A155="","",IF($C155="Borç",-$D155,$D155))</f>
        <v/>
      </c>
      <c r="F155" s="18" t="str">
        <f aca="false">IF($A155="","",IFERROR(IF(INDEX(tblOrtak[Ortak Adı],ROW($A155)-ROW(tblOrtak[[#Headers],[Tarih]])-1)=$B155,INDEX(tblOrtak[Bakiye (₺)],ROW($A155)-ROW(tblOrtak[[#Headers],[Tarih]])-1)+$E155,$E155),$E155))</f>
        <v/>
      </c>
      <c r="G155" s="19" t="str">
        <f aca="false">IF($A155="","",IFERROR(IF(INDEX(tblOrtak[Tarih],ROW($A155)-ROW(tblOrtak[[#Headers],[Tarih]])+1)=0,RaporTarihi,INDEX(tblOrtak[Tarih],ROW($A155)-ROW(tblOrtak[[#Headers],[Tarih]])+1))-$A155,RaporTarihi-$A155))</f>
        <v/>
      </c>
      <c r="H155" s="18" t="n">
        <f aca="false">IF($F155="",0,ROUND($F155*$G155,0))</f>
        <v>0</v>
      </c>
      <c r="I155" s="18" t="n">
        <f aca="false">IF($H155="",0,ROUND($H155*AdatFaizOran/AdatYilGunSayisi,2))</f>
        <v>0</v>
      </c>
      <c r="J155" s="22"/>
    </row>
    <row r="156" customFormat="false" ht="15" hidden="false" customHeight="false" outlineLevel="0" collapsed="false">
      <c r="A156" s="21"/>
      <c r="B156" s="22"/>
      <c r="C156" s="22"/>
      <c r="D156" s="23"/>
      <c r="E156" s="20" t="str">
        <f aca="false">IF($A156="","",IF($C156="Borç",-$D156,$D156))</f>
        <v/>
      </c>
      <c r="F156" s="18" t="str">
        <f aca="false">IF($A156="","",IFERROR(IF(INDEX(tblOrtak[Ortak Adı],ROW($A156)-ROW(tblOrtak[[#Headers],[Tarih]])-1)=$B156,INDEX(tblOrtak[Bakiye (₺)],ROW($A156)-ROW(tblOrtak[[#Headers],[Tarih]])-1)+$E156,$E156),$E156))</f>
        <v/>
      </c>
      <c r="G156" s="19" t="str">
        <f aca="false">IF($A156="","",IFERROR(IF(INDEX(tblOrtak[Tarih],ROW($A156)-ROW(tblOrtak[[#Headers],[Tarih]])+1)=0,RaporTarihi,INDEX(tblOrtak[Tarih],ROW($A156)-ROW(tblOrtak[[#Headers],[Tarih]])+1))-$A156,RaporTarihi-$A156))</f>
        <v/>
      </c>
      <c r="H156" s="18" t="n">
        <f aca="false">IF($F156="",0,ROUND($F156*$G156,0))</f>
        <v>0</v>
      </c>
      <c r="I156" s="18" t="n">
        <f aca="false">IF($H156="",0,ROUND($H156*AdatFaizOran/AdatYilGunSayisi,2))</f>
        <v>0</v>
      </c>
      <c r="J156" s="22"/>
    </row>
    <row r="157" customFormat="false" ht="15" hidden="false" customHeight="false" outlineLevel="0" collapsed="false">
      <c r="A157" s="21"/>
      <c r="B157" s="22"/>
      <c r="C157" s="22"/>
      <c r="D157" s="23"/>
      <c r="E157" s="20" t="str">
        <f aca="false">IF($A157="","",IF($C157="Borç",-$D157,$D157))</f>
        <v/>
      </c>
      <c r="F157" s="18" t="str">
        <f aca="false">IF($A157="","",IFERROR(IF(INDEX(tblOrtak[Ortak Adı],ROW($A157)-ROW(tblOrtak[[#Headers],[Tarih]])-1)=$B157,INDEX(tblOrtak[Bakiye (₺)],ROW($A157)-ROW(tblOrtak[[#Headers],[Tarih]])-1)+$E157,$E157),$E157))</f>
        <v/>
      </c>
      <c r="G157" s="19" t="str">
        <f aca="false">IF($A157="","",IFERROR(IF(INDEX(tblOrtak[Tarih],ROW($A157)-ROW(tblOrtak[[#Headers],[Tarih]])+1)=0,RaporTarihi,INDEX(tblOrtak[Tarih],ROW($A157)-ROW(tblOrtak[[#Headers],[Tarih]])+1))-$A157,RaporTarihi-$A157))</f>
        <v/>
      </c>
      <c r="H157" s="18" t="n">
        <f aca="false">IF($F157="",0,ROUND($F157*$G157,0))</f>
        <v>0</v>
      </c>
      <c r="I157" s="18" t="n">
        <f aca="false">IF($H157="",0,ROUND($H157*AdatFaizOran/AdatYilGunSayisi,2))</f>
        <v>0</v>
      </c>
      <c r="J157" s="22"/>
    </row>
    <row r="158" customFormat="false" ht="15" hidden="false" customHeight="false" outlineLevel="0" collapsed="false">
      <c r="A158" s="21"/>
      <c r="B158" s="22"/>
      <c r="C158" s="22"/>
      <c r="D158" s="23"/>
      <c r="E158" s="20" t="str">
        <f aca="false">IF($A158="","",IF($C158="Borç",-$D158,$D158))</f>
        <v/>
      </c>
      <c r="F158" s="18" t="str">
        <f aca="false">IF($A158="","",IFERROR(IF(INDEX(tblOrtak[Ortak Adı],ROW($A158)-ROW(tblOrtak[[#Headers],[Tarih]])-1)=$B158,INDEX(tblOrtak[Bakiye (₺)],ROW($A158)-ROW(tblOrtak[[#Headers],[Tarih]])-1)+$E158,$E158),$E158))</f>
        <v/>
      </c>
      <c r="G158" s="19" t="str">
        <f aca="false">IF($A158="","",IFERROR(IF(INDEX(tblOrtak[Tarih],ROW($A158)-ROW(tblOrtak[[#Headers],[Tarih]])+1)=0,RaporTarihi,INDEX(tblOrtak[Tarih],ROW($A158)-ROW(tblOrtak[[#Headers],[Tarih]])+1))-$A158,RaporTarihi-$A158))</f>
        <v/>
      </c>
      <c r="H158" s="18" t="n">
        <f aca="false">IF($F158="",0,ROUND($F158*$G158,0))</f>
        <v>0</v>
      </c>
      <c r="I158" s="18" t="n">
        <f aca="false">IF($H158="",0,ROUND($H158*AdatFaizOran/AdatYilGunSayisi,2))</f>
        <v>0</v>
      </c>
      <c r="J158" s="22"/>
    </row>
    <row r="159" customFormat="false" ht="15" hidden="false" customHeight="false" outlineLevel="0" collapsed="false">
      <c r="A159" s="21"/>
      <c r="B159" s="22"/>
      <c r="C159" s="22"/>
      <c r="D159" s="23"/>
      <c r="E159" s="20" t="str">
        <f aca="false">IF($A159="","",IF($C159="Borç",-$D159,$D159))</f>
        <v/>
      </c>
      <c r="F159" s="18" t="str">
        <f aca="false">IF($A159="","",IFERROR(IF(INDEX(tblOrtak[Ortak Adı],ROW($A159)-ROW(tblOrtak[[#Headers],[Tarih]])-1)=$B159,INDEX(tblOrtak[Bakiye (₺)],ROW($A159)-ROW(tblOrtak[[#Headers],[Tarih]])-1)+$E159,$E159),$E159))</f>
        <v/>
      </c>
      <c r="G159" s="19" t="str">
        <f aca="false">IF($A159="","",IFERROR(IF(INDEX(tblOrtak[Tarih],ROW($A159)-ROW(tblOrtak[[#Headers],[Tarih]])+1)=0,RaporTarihi,INDEX(tblOrtak[Tarih],ROW($A159)-ROW(tblOrtak[[#Headers],[Tarih]])+1))-$A159,RaporTarihi-$A159))</f>
        <v/>
      </c>
      <c r="H159" s="18" t="n">
        <f aca="false">IF($F159="",0,ROUND($F159*$G159,0))</f>
        <v>0</v>
      </c>
      <c r="I159" s="18" t="n">
        <f aca="false">IF($H159="",0,ROUND($H159*AdatFaizOran/AdatYilGunSayisi,2))</f>
        <v>0</v>
      </c>
      <c r="J159" s="22"/>
    </row>
    <row r="160" customFormat="false" ht="15" hidden="false" customHeight="false" outlineLevel="0" collapsed="false">
      <c r="A160" s="21"/>
      <c r="B160" s="22"/>
      <c r="C160" s="22"/>
      <c r="D160" s="23"/>
      <c r="E160" s="20" t="str">
        <f aca="false">IF($A160="","",IF($C160="Borç",-$D160,$D160))</f>
        <v/>
      </c>
      <c r="F160" s="18" t="str">
        <f aca="false">IF($A160="","",IFERROR(IF(INDEX(tblOrtak[Ortak Adı],ROW($A160)-ROW(tblOrtak[[#Headers],[Tarih]])-1)=$B160,INDEX(tblOrtak[Bakiye (₺)],ROW($A160)-ROW(tblOrtak[[#Headers],[Tarih]])-1)+$E160,$E160),$E160))</f>
        <v/>
      </c>
      <c r="G160" s="19" t="str">
        <f aca="false">IF($A160="","",IFERROR(IF(INDEX(tblOrtak[Tarih],ROW($A160)-ROW(tblOrtak[[#Headers],[Tarih]])+1)=0,RaporTarihi,INDEX(tblOrtak[Tarih],ROW($A160)-ROW(tblOrtak[[#Headers],[Tarih]])+1))-$A160,RaporTarihi-$A160))</f>
        <v/>
      </c>
      <c r="H160" s="18" t="n">
        <f aca="false">IF($F160="",0,ROUND($F160*$G160,0))</f>
        <v>0</v>
      </c>
      <c r="I160" s="18" t="n">
        <f aca="false">IF($H160="",0,ROUND($H160*AdatFaizOran/AdatYilGunSayisi,2))</f>
        <v>0</v>
      </c>
      <c r="J160" s="22"/>
    </row>
    <row r="161" customFormat="false" ht="15" hidden="false" customHeight="false" outlineLevel="0" collapsed="false">
      <c r="A161" s="21"/>
      <c r="B161" s="22"/>
      <c r="C161" s="22"/>
      <c r="D161" s="23"/>
      <c r="E161" s="20" t="str">
        <f aca="false">IF($A161="","",IF($C161="Borç",-$D161,$D161))</f>
        <v/>
      </c>
      <c r="F161" s="18" t="str">
        <f aca="false">IF($A161="","",IFERROR(IF(INDEX(tblOrtak[Ortak Adı],ROW($A161)-ROW(tblOrtak[[#Headers],[Tarih]])-1)=$B161,INDEX(tblOrtak[Bakiye (₺)],ROW($A161)-ROW(tblOrtak[[#Headers],[Tarih]])-1)+$E161,$E161),$E161))</f>
        <v/>
      </c>
      <c r="G161" s="19" t="str">
        <f aca="false">IF($A161="","",IFERROR(IF(INDEX(tblOrtak[Tarih],ROW($A161)-ROW(tblOrtak[[#Headers],[Tarih]])+1)=0,RaporTarihi,INDEX(tblOrtak[Tarih],ROW($A161)-ROW(tblOrtak[[#Headers],[Tarih]])+1))-$A161,RaporTarihi-$A161))</f>
        <v/>
      </c>
      <c r="H161" s="18" t="n">
        <f aca="false">IF($F161="",0,ROUND($F161*$G161,0))</f>
        <v>0</v>
      </c>
      <c r="I161" s="18" t="n">
        <f aca="false">IF($H161="",0,ROUND($H161*AdatFaizOran/AdatYilGunSayisi,2))</f>
        <v>0</v>
      </c>
      <c r="J161" s="22"/>
    </row>
    <row r="162" customFormat="false" ht="15" hidden="false" customHeight="false" outlineLevel="0" collapsed="false">
      <c r="A162" s="21"/>
      <c r="B162" s="22"/>
      <c r="C162" s="22"/>
      <c r="D162" s="23"/>
      <c r="E162" s="20" t="str">
        <f aca="false">IF($A162="","",IF($C162="Borç",-$D162,$D162))</f>
        <v/>
      </c>
      <c r="F162" s="18" t="str">
        <f aca="false">IF($A162="","",IFERROR(IF(INDEX(tblOrtak[Ortak Adı],ROW($A162)-ROW(tblOrtak[[#Headers],[Tarih]])-1)=$B162,INDEX(tblOrtak[Bakiye (₺)],ROW($A162)-ROW(tblOrtak[[#Headers],[Tarih]])-1)+$E162,$E162),$E162))</f>
        <v/>
      </c>
      <c r="G162" s="19" t="str">
        <f aca="false">IF($A162="","",IFERROR(IF(INDEX(tblOrtak[Tarih],ROW($A162)-ROW(tblOrtak[[#Headers],[Tarih]])+1)=0,RaporTarihi,INDEX(tblOrtak[Tarih],ROW($A162)-ROW(tblOrtak[[#Headers],[Tarih]])+1))-$A162,RaporTarihi-$A162))</f>
        <v/>
      </c>
      <c r="H162" s="18" t="n">
        <f aca="false">IF($F162="",0,ROUND($F162*$G162,0))</f>
        <v>0</v>
      </c>
      <c r="I162" s="18" t="n">
        <f aca="false">IF($H162="",0,ROUND($H162*AdatFaizOran/AdatYilGunSayisi,2))</f>
        <v>0</v>
      </c>
      <c r="J162" s="22"/>
    </row>
    <row r="163" customFormat="false" ht="15" hidden="false" customHeight="false" outlineLevel="0" collapsed="false">
      <c r="A163" s="21"/>
      <c r="B163" s="22"/>
      <c r="C163" s="22"/>
      <c r="D163" s="23"/>
      <c r="E163" s="20" t="str">
        <f aca="false">IF($A163="","",IF($C163="Borç",-$D163,$D163))</f>
        <v/>
      </c>
      <c r="F163" s="18" t="str">
        <f aca="false">IF($A163="","",IFERROR(IF(INDEX(tblOrtak[Ortak Adı],ROW($A163)-ROW(tblOrtak[[#Headers],[Tarih]])-1)=$B163,INDEX(tblOrtak[Bakiye (₺)],ROW($A163)-ROW(tblOrtak[[#Headers],[Tarih]])-1)+$E163,$E163),$E163))</f>
        <v/>
      </c>
      <c r="G163" s="19" t="str">
        <f aca="false">IF($A163="","",IFERROR(IF(INDEX(tblOrtak[Tarih],ROW($A163)-ROW(tblOrtak[[#Headers],[Tarih]])+1)=0,RaporTarihi,INDEX(tblOrtak[Tarih],ROW($A163)-ROW(tblOrtak[[#Headers],[Tarih]])+1))-$A163,RaporTarihi-$A163))</f>
        <v/>
      </c>
      <c r="H163" s="18" t="n">
        <f aca="false">IF($F163="",0,ROUND($F163*$G163,0))</f>
        <v>0</v>
      </c>
      <c r="I163" s="18" t="n">
        <f aca="false">IF($H163="",0,ROUND($H163*AdatFaizOran/AdatYilGunSayisi,2))</f>
        <v>0</v>
      </c>
      <c r="J163" s="22"/>
    </row>
    <row r="164" customFormat="false" ht="15" hidden="false" customHeight="false" outlineLevel="0" collapsed="false">
      <c r="A164" s="21"/>
      <c r="B164" s="22"/>
      <c r="C164" s="22"/>
      <c r="D164" s="23"/>
      <c r="E164" s="20" t="str">
        <f aca="false">IF($A164="","",IF($C164="Borç",-$D164,$D164))</f>
        <v/>
      </c>
      <c r="F164" s="18" t="str">
        <f aca="false">IF($A164="","",IFERROR(IF(INDEX(tblOrtak[Ortak Adı],ROW($A164)-ROW(tblOrtak[[#Headers],[Tarih]])-1)=$B164,INDEX(tblOrtak[Bakiye (₺)],ROW($A164)-ROW(tblOrtak[[#Headers],[Tarih]])-1)+$E164,$E164),$E164))</f>
        <v/>
      </c>
      <c r="G164" s="19" t="str">
        <f aca="false">IF($A164="","",IFERROR(IF(INDEX(tblOrtak[Tarih],ROW($A164)-ROW(tblOrtak[[#Headers],[Tarih]])+1)=0,RaporTarihi,INDEX(tblOrtak[Tarih],ROW($A164)-ROW(tblOrtak[[#Headers],[Tarih]])+1))-$A164,RaporTarihi-$A164))</f>
        <v/>
      </c>
      <c r="H164" s="18" t="n">
        <f aca="false">IF($F164="",0,ROUND($F164*$G164,0))</f>
        <v>0</v>
      </c>
      <c r="I164" s="18" t="n">
        <f aca="false">IF($H164="",0,ROUND($H164*AdatFaizOran/AdatYilGunSayisi,2))</f>
        <v>0</v>
      </c>
      <c r="J164" s="22"/>
    </row>
    <row r="165" customFormat="false" ht="15" hidden="false" customHeight="false" outlineLevel="0" collapsed="false">
      <c r="A165" s="21"/>
      <c r="B165" s="22"/>
      <c r="C165" s="22"/>
      <c r="D165" s="23"/>
      <c r="E165" s="20" t="str">
        <f aca="false">IF($A165="","",IF($C165="Borç",-$D165,$D165))</f>
        <v/>
      </c>
      <c r="F165" s="18" t="str">
        <f aca="false">IF($A165="","",IFERROR(IF(INDEX(tblOrtak[Ortak Adı],ROW($A165)-ROW(tblOrtak[[#Headers],[Tarih]])-1)=$B165,INDEX(tblOrtak[Bakiye (₺)],ROW($A165)-ROW(tblOrtak[[#Headers],[Tarih]])-1)+$E165,$E165),$E165))</f>
        <v/>
      </c>
      <c r="G165" s="19" t="str">
        <f aca="false">IF($A165="","",IFERROR(IF(INDEX(tblOrtak[Tarih],ROW($A165)-ROW(tblOrtak[[#Headers],[Tarih]])+1)=0,RaporTarihi,INDEX(tblOrtak[Tarih],ROW($A165)-ROW(tblOrtak[[#Headers],[Tarih]])+1))-$A165,RaporTarihi-$A165))</f>
        <v/>
      </c>
      <c r="H165" s="18" t="n">
        <f aca="false">IF($F165="",0,ROUND($F165*$G165,0))</f>
        <v>0</v>
      </c>
      <c r="I165" s="18" t="n">
        <f aca="false">IF($H165="",0,ROUND($H165*AdatFaizOran/AdatYilGunSayisi,2))</f>
        <v>0</v>
      </c>
      <c r="J165" s="22"/>
    </row>
    <row r="166" customFormat="false" ht="15" hidden="false" customHeight="false" outlineLevel="0" collapsed="false">
      <c r="A166" s="21"/>
      <c r="B166" s="22"/>
      <c r="C166" s="22"/>
      <c r="D166" s="23"/>
      <c r="E166" s="20" t="str">
        <f aca="false">IF($A166="","",IF($C166="Borç",-$D166,$D166))</f>
        <v/>
      </c>
      <c r="F166" s="18" t="str">
        <f aca="false">IF($A166="","",IFERROR(IF(INDEX(tblOrtak[Ortak Adı],ROW($A166)-ROW(tblOrtak[[#Headers],[Tarih]])-1)=$B166,INDEX(tblOrtak[Bakiye (₺)],ROW($A166)-ROW(tblOrtak[[#Headers],[Tarih]])-1)+$E166,$E166),$E166))</f>
        <v/>
      </c>
      <c r="G166" s="19" t="str">
        <f aca="false">IF($A166="","",IFERROR(IF(INDEX(tblOrtak[Tarih],ROW($A166)-ROW(tblOrtak[[#Headers],[Tarih]])+1)=0,RaporTarihi,INDEX(tblOrtak[Tarih],ROW($A166)-ROW(tblOrtak[[#Headers],[Tarih]])+1))-$A166,RaporTarihi-$A166))</f>
        <v/>
      </c>
      <c r="H166" s="18" t="n">
        <f aca="false">IF($F166="",0,ROUND($F166*$G166,0))</f>
        <v>0</v>
      </c>
      <c r="I166" s="18" t="n">
        <f aca="false">IF($H166="",0,ROUND($H166*AdatFaizOran/AdatYilGunSayisi,2))</f>
        <v>0</v>
      </c>
      <c r="J166" s="22"/>
    </row>
    <row r="167" customFormat="false" ht="15" hidden="false" customHeight="false" outlineLevel="0" collapsed="false">
      <c r="A167" s="21"/>
      <c r="B167" s="22"/>
      <c r="C167" s="22"/>
      <c r="D167" s="23"/>
      <c r="E167" s="20" t="str">
        <f aca="false">IF($A167="","",IF($C167="Borç",-$D167,$D167))</f>
        <v/>
      </c>
      <c r="F167" s="18" t="str">
        <f aca="false">IF($A167="","",IFERROR(IF(INDEX(tblOrtak[Ortak Adı],ROW($A167)-ROW(tblOrtak[[#Headers],[Tarih]])-1)=$B167,INDEX(tblOrtak[Bakiye (₺)],ROW($A167)-ROW(tblOrtak[[#Headers],[Tarih]])-1)+$E167,$E167),$E167))</f>
        <v/>
      </c>
      <c r="G167" s="19" t="str">
        <f aca="false">IF($A167="","",IFERROR(IF(INDEX(tblOrtak[Tarih],ROW($A167)-ROW(tblOrtak[[#Headers],[Tarih]])+1)=0,RaporTarihi,INDEX(tblOrtak[Tarih],ROW($A167)-ROW(tblOrtak[[#Headers],[Tarih]])+1))-$A167,RaporTarihi-$A167))</f>
        <v/>
      </c>
      <c r="H167" s="18" t="n">
        <f aca="false">IF($F167="",0,ROUND($F167*$G167,0))</f>
        <v>0</v>
      </c>
      <c r="I167" s="18" t="n">
        <f aca="false">IF($H167="",0,ROUND($H167*AdatFaizOran/AdatYilGunSayisi,2))</f>
        <v>0</v>
      </c>
      <c r="J167" s="22"/>
    </row>
    <row r="168" customFormat="false" ht="15" hidden="false" customHeight="false" outlineLevel="0" collapsed="false">
      <c r="A168" s="21"/>
      <c r="B168" s="22"/>
      <c r="C168" s="22"/>
      <c r="D168" s="23"/>
      <c r="E168" s="20" t="str">
        <f aca="false">IF($A168="","",IF($C168="Borç",-$D168,$D168))</f>
        <v/>
      </c>
      <c r="F168" s="18" t="str">
        <f aca="false">IF($A168="","",IFERROR(IF(INDEX(tblOrtak[Ortak Adı],ROW($A168)-ROW(tblOrtak[[#Headers],[Tarih]])-1)=$B168,INDEX(tblOrtak[Bakiye (₺)],ROW($A168)-ROW(tblOrtak[[#Headers],[Tarih]])-1)+$E168,$E168),$E168))</f>
        <v/>
      </c>
      <c r="G168" s="19" t="str">
        <f aca="false">IF($A168="","",IFERROR(IF(INDEX(tblOrtak[Tarih],ROW($A168)-ROW(tblOrtak[[#Headers],[Tarih]])+1)=0,RaporTarihi,INDEX(tblOrtak[Tarih],ROW($A168)-ROW(tblOrtak[[#Headers],[Tarih]])+1))-$A168,RaporTarihi-$A168))</f>
        <v/>
      </c>
      <c r="H168" s="18" t="n">
        <f aca="false">IF($F168="",0,ROUND($F168*$G168,0))</f>
        <v>0</v>
      </c>
      <c r="I168" s="18" t="n">
        <f aca="false">IF($H168="",0,ROUND($H168*AdatFaizOran/AdatYilGunSayisi,2))</f>
        <v>0</v>
      </c>
      <c r="J168" s="22"/>
    </row>
    <row r="169" customFormat="false" ht="15" hidden="false" customHeight="false" outlineLevel="0" collapsed="false">
      <c r="A169" s="21"/>
      <c r="B169" s="22"/>
      <c r="C169" s="22"/>
      <c r="D169" s="23"/>
      <c r="E169" s="20" t="str">
        <f aca="false">IF($A169="","",IF($C169="Borç",-$D169,$D169))</f>
        <v/>
      </c>
      <c r="F169" s="18" t="str">
        <f aca="false">IF($A169="","",IFERROR(IF(INDEX(tblOrtak[Ortak Adı],ROW($A169)-ROW(tblOrtak[[#Headers],[Tarih]])-1)=$B169,INDEX(tblOrtak[Bakiye (₺)],ROW($A169)-ROW(tblOrtak[[#Headers],[Tarih]])-1)+$E169,$E169),$E169))</f>
        <v/>
      </c>
      <c r="G169" s="19" t="str">
        <f aca="false">IF($A169="","",IFERROR(IF(INDEX(tblOrtak[Tarih],ROW($A169)-ROW(tblOrtak[[#Headers],[Tarih]])+1)=0,RaporTarihi,INDEX(tblOrtak[Tarih],ROW($A169)-ROW(tblOrtak[[#Headers],[Tarih]])+1))-$A169,RaporTarihi-$A169))</f>
        <v/>
      </c>
      <c r="H169" s="18" t="n">
        <f aca="false">IF($F169="",0,ROUND($F169*$G169,0))</f>
        <v>0</v>
      </c>
      <c r="I169" s="18" t="n">
        <f aca="false">IF($H169="",0,ROUND($H169*AdatFaizOran/AdatYilGunSayisi,2))</f>
        <v>0</v>
      </c>
      <c r="J169" s="22"/>
    </row>
    <row r="170" customFormat="false" ht="15" hidden="false" customHeight="false" outlineLevel="0" collapsed="false">
      <c r="A170" s="21"/>
      <c r="B170" s="22"/>
      <c r="C170" s="22"/>
      <c r="D170" s="23"/>
      <c r="E170" s="20" t="str">
        <f aca="false">IF($A170="","",IF($C170="Borç",-$D170,$D170))</f>
        <v/>
      </c>
      <c r="F170" s="18" t="str">
        <f aca="false">IF($A170="","",IFERROR(IF(INDEX(tblOrtak[Ortak Adı],ROW($A170)-ROW(tblOrtak[[#Headers],[Tarih]])-1)=$B170,INDEX(tblOrtak[Bakiye (₺)],ROW($A170)-ROW(tblOrtak[[#Headers],[Tarih]])-1)+$E170,$E170),$E170))</f>
        <v/>
      </c>
      <c r="G170" s="19" t="str">
        <f aca="false">IF($A170="","",IFERROR(IF(INDEX(tblOrtak[Tarih],ROW($A170)-ROW(tblOrtak[[#Headers],[Tarih]])+1)=0,RaporTarihi,INDEX(tblOrtak[Tarih],ROW($A170)-ROW(tblOrtak[[#Headers],[Tarih]])+1))-$A170,RaporTarihi-$A170))</f>
        <v/>
      </c>
      <c r="H170" s="18" t="n">
        <f aca="false">IF($F170="",0,ROUND($F170*$G170,0))</f>
        <v>0</v>
      </c>
      <c r="I170" s="18" t="n">
        <f aca="false">IF($H170="",0,ROUND($H170*AdatFaizOran/AdatYilGunSayisi,2))</f>
        <v>0</v>
      </c>
      <c r="J170" s="22"/>
    </row>
    <row r="171" customFormat="false" ht="15" hidden="false" customHeight="false" outlineLevel="0" collapsed="false">
      <c r="A171" s="21"/>
      <c r="B171" s="22"/>
      <c r="C171" s="22"/>
      <c r="D171" s="23"/>
      <c r="E171" s="20" t="str">
        <f aca="false">IF($A171="","",IF($C171="Borç",-$D171,$D171))</f>
        <v/>
      </c>
      <c r="F171" s="18" t="str">
        <f aca="false">IF($A171="","",IFERROR(IF(INDEX(tblOrtak[Ortak Adı],ROW($A171)-ROW(tblOrtak[[#Headers],[Tarih]])-1)=$B171,INDEX(tblOrtak[Bakiye (₺)],ROW($A171)-ROW(tblOrtak[[#Headers],[Tarih]])-1)+$E171,$E171),$E171))</f>
        <v/>
      </c>
      <c r="G171" s="19" t="str">
        <f aca="false">IF($A171="","",IFERROR(IF(INDEX(tblOrtak[Tarih],ROW($A171)-ROW(tblOrtak[[#Headers],[Tarih]])+1)=0,RaporTarihi,INDEX(tblOrtak[Tarih],ROW($A171)-ROW(tblOrtak[[#Headers],[Tarih]])+1))-$A171,RaporTarihi-$A171))</f>
        <v/>
      </c>
      <c r="H171" s="18" t="n">
        <f aca="false">IF($F171="",0,ROUND($F171*$G171,0))</f>
        <v>0</v>
      </c>
      <c r="I171" s="18" t="n">
        <f aca="false">IF($H171="",0,ROUND($H171*AdatFaizOran/AdatYilGunSayisi,2))</f>
        <v>0</v>
      </c>
      <c r="J171" s="22"/>
    </row>
    <row r="172" customFormat="false" ht="15" hidden="false" customHeight="false" outlineLevel="0" collapsed="false">
      <c r="A172" s="21"/>
      <c r="B172" s="22"/>
      <c r="C172" s="22"/>
      <c r="D172" s="23"/>
      <c r="E172" s="20" t="str">
        <f aca="false">IF($A172="","",IF($C172="Borç",-$D172,$D172))</f>
        <v/>
      </c>
      <c r="F172" s="18" t="str">
        <f aca="false">IF($A172="","",IFERROR(IF(INDEX(tblOrtak[Ortak Adı],ROW($A172)-ROW(tblOrtak[[#Headers],[Tarih]])-1)=$B172,INDEX(tblOrtak[Bakiye (₺)],ROW($A172)-ROW(tblOrtak[[#Headers],[Tarih]])-1)+$E172,$E172),$E172))</f>
        <v/>
      </c>
      <c r="G172" s="19" t="str">
        <f aca="false">IF($A172="","",IFERROR(IF(INDEX(tblOrtak[Tarih],ROW($A172)-ROW(tblOrtak[[#Headers],[Tarih]])+1)=0,RaporTarihi,INDEX(tblOrtak[Tarih],ROW($A172)-ROW(tblOrtak[[#Headers],[Tarih]])+1))-$A172,RaporTarihi-$A172))</f>
        <v/>
      </c>
      <c r="H172" s="18" t="n">
        <f aca="false">IF($F172="",0,ROUND($F172*$G172,0))</f>
        <v>0</v>
      </c>
      <c r="I172" s="18" t="n">
        <f aca="false">IF($H172="",0,ROUND($H172*AdatFaizOran/AdatYilGunSayisi,2))</f>
        <v>0</v>
      </c>
      <c r="J172" s="22"/>
    </row>
    <row r="173" customFormat="false" ht="15" hidden="false" customHeight="false" outlineLevel="0" collapsed="false">
      <c r="A173" s="21"/>
      <c r="B173" s="22"/>
      <c r="C173" s="22"/>
      <c r="D173" s="23"/>
      <c r="E173" s="20" t="str">
        <f aca="false">IF($A173="","",IF($C173="Borç",-$D173,$D173))</f>
        <v/>
      </c>
      <c r="F173" s="18" t="str">
        <f aca="false">IF($A173="","",IFERROR(IF(INDEX(tblOrtak[Ortak Adı],ROW($A173)-ROW(tblOrtak[[#Headers],[Tarih]])-1)=$B173,INDEX(tblOrtak[Bakiye (₺)],ROW($A173)-ROW(tblOrtak[[#Headers],[Tarih]])-1)+$E173,$E173),$E173))</f>
        <v/>
      </c>
      <c r="G173" s="19" t="str">
        <f aca="false">IF($A173="","",IFERROR(IF(INDEX(tblOrtak[Tarih],ROW($A173)-ROW(tblOrtak[[#Headers],[Tarih]])+1)=0,RaporTarihi,INDEX(tblOrtak[Tarih],ROW($A173)-ROW(tblOrtak[[#Headers],[Tarih]])+1))-$A173,RaporTarihi-$A173))</f>
        <v/>
      </c>
      <c r="H173" s="18" t="n">
        <f aca="false">IF($F173="",0,ROUND($F173*$G173,0))</f>
        <v>0</v>
      </c>
      <c r="I173" s="18" t="n">
        <f aca="false">IF($H173="",0,ROUND($H173*AdatFaizOran/AdatYilGunSayisi,2))</f>
        <v>0</v>
      </c>
      <c r="J173" s="22"/>
    </row>
    <row r="174" customFormat="false" ht="15" hidden="false" customHeight="false" outlineLevel="0" collapsed="false">
      <c r="A174" s="21"/>
      <c r="B174" s="22"/>
      <c r="C174" s="22"/>
      <c r="D174" s="23"/>
      <c r="E174" s="20" t="str">
        <f aca="false">IF($A174="","",IF($C174="Borç",-$D174,$D174))</f>
        <v/>
      </c>
      <c r="F174" s="18" t="str">
        <f aca="false">IF($A174="","",IFERROR(IF(INDEX(tblOrtak[Ortak Adı],ROW($A174)-ROW(tblOrtak[[#Headers],[Tarih]])-1)=$B174,INDEX(tblOrtak[Bakiye (₺)],ROW($A174)-ROW(tblOrtak[[#Headers],[Tarih]])-1)+$E174,$E174),$E174))</f>
        <v/>
      </c>
      <c r="G174" s="19" t="str">
        <f aca="false">IF($A174="","",IFERROR(IF(INDEX(tblOrtak[Tarih],ROW($A174)-ROW(tblOrtak[[#Headers],[Tarih]])+1)=0,RaporTarihi,INDEX(tblOrtak[Tarih],ROW($A174)-ROW(tblOrtak[[#Headers],[Tarih]])+1))-$A174,RaporTarihi-$A174))</f>
        <v/>
      </c>
      <c r="H174" s="18" t="n">
        <f aca="false">IF($F174="",0,ROUND($F174*$G174,0))</f>
        <v>0</v>
      </c>
      <c r="I174" s="18" t="n">
        <f aca="false">IF($H174="",0,ROUND($H174*AdatFaizOran/AdatYilGunSayisi,2))</f>
        <v>0</v>
      </c>
      <c r="J174" s="22"/>
    </row>
    <row r="175" customFormat="false" ht="15" hidden="false" customHeight="false" outlineLevel="0" collapsed="false">
      <c r="A175" s="21"/>
      <c r="B175" s="22"/>
      <c r="C175" s="22"/>
      <c r="D175" s="23"/>
      <c r="E175" s="20" t="str">
        <f aca="false">IF($A175="","",IF($C175="Borç",-$D175,$D175))</f>
        <v/>
      </c>
      <c r="F175" s="18" t="str">
        <f aca="false">IF($A175="","",IFERROR(IF(INDEX(tblOrtak[Ortak Adı],ROW($A175)-ROW(tblOrtak[[#Headers],[Tarih]])-1)=$B175,INDEX(tblOrtak[Bakiye (₺)],ROW($A175)-ROW(tblOrtak[[#Headers],[Tarih]])-1)+$E175,$E175),$E175))</f>
        <v/>
      </c>
      <c r="G175" s="19" t="str">
        <f aca="false">IF($A175="","",IFERROR(IF(INDEX(tblOrtak[Tarih],ROW($A175)-ROW(tblOrtak[[#Headers],[Tarih]])+1)=0,RaporTarihi,INDEX(tblOrtak[Tarih],ROW($A175)-ROW(tblOrtak[[#Headers],[Tarih]])+1))-$A175,RaporTarihi-$A175))</f>
        <v/>
      </c>
      <c r="H175" s="18" t="n">
        <f aca="false">IF($F175="",0,ROUND($F175*$G175,0))</f>
        <v>0</v>
      </c>
      <c r="I175" s="18" t="n">
        <f aca="false">IF($H175="",0,ROUND($H175*AdatFaizOran/AdatYilGunSayisi,2))</f>
        <v>0</v>
      </c>
      <c r="J175" s="22"/>
    </row>
    <row r="176" customFormat="false" ht="15" hidden="false" customHeight="false" outlineLevel="0" collapsed="false">
      <c r="A176" s="21"/>
      <c r="B176" s="22"/>
      <c r="C176" s="22"/>
      <c r="D176" s="23"/>
      <c r="E176" s="20" t="str">
        <f aca="false">IF($A176="","",IF($C176="Borç",-$D176,$D176))</f>
        <v/>
      </c>
      <c r="F176" s="18" t="str">
        <f aca="false">IF($A176="","",IFERROR(IF(INDEX(tblOrtak[Ortak Adı],ROW($A176)-ROW(tblOrtak[[#Headers],[Tarih]])-1)=$B176,INDEX(tblOrtak[Bakiye (₺)],ROW($A176)-ROW(tblOrtak[[#Headers],[Tarih]])-1)+$E176,$E176),$E176))</f>
        <v/>
      </c>
      <c r="G176" s="19" t="str">
        <f aca="false">IF($A176="","",IFERROR(IF(INDEX(tblOrtak[Tarih],ROW($A176)-ROW(tblOrtak[[#Headers],[Tarih]])+1)=0,RaporTarihi,INDEX(tblOrtak[Tarih],ROW($A176)-ROW(tblOrtak[[#Headers],[Tarih]])+1))-$A176,RaporTarihi-$A176))</f>
        <v/>
      </c>
      <c r="H176" s="18" t="n">
        <f aca="false">IF($F176="",0,ROUND($F176*$G176,0))</f>
        <v>0</v>
      </c>
      <c r="I176" s="18" t="n">
        <f aca="false">IF($H176="",0,ROUND($H176*AdatFaizOran/AdatYilGunSayisi,2))</f>
        <v>0</v>
      </c>
      <c r="J176" s="22"/>
    </row>
    <row r="177" customFormat="false" ht="15" hidden="false" customHeight="false" outlineLevel="0" collapsed="false">
      <c r="A177" s="21"/>
      <c r="B177" s="22"/>
      <c r="C177" s="22"/>
      <c r="D177" s="23"/>
      <c r="E177" s="20" t="str">
        <f aca="false">IF($A177="","",IF($C177="Borç",-$D177,$D177))</f>
        <v/>
      </c>
      <c r="F177" s="18" t="str">
        <f aca="false">IF($A177="","",IFERROR(IF(INDEX(tblOrtak[Ortak Adı],ROW($A177)-ROW(tblOrtak[[#Headers],[Tarih]])-1)=$B177,INDEX(tblOrtak[Bakiye (₺)],ROW($A177)-ROW(tblOrtak[[#Headers],[Tarih]])-1)+$E177,$E177),$E177))</f>
        <v/>
      </c>
      <c r="G177" s="19" t="str">
        <f aca="false">IF($A177="","",IFERROR(IF(INDEX(tblOrtak[Tarih],ROW($A177)-ROW(tblOrtak[[#Headers],[Tarih]])+1)=0,RaporTarihi,INDEX(tblOrtak[Tarih],ROW($A177)-ROW(tblOrtak[[#Headers],[Tarih]])+1))-$A177,RaporTarihi-$A177))</f>
        <v/>
      </c>
      <c r="H177" s="18" t="n">
        <f aca="false">IF($F177="",0,ROUND($F177*$G177,0))</f>
        <v>0</v>
      </c>
      <c r="I177" s="18" t="n">
        <f aca="false">IF($H177="",0,ROUND($H177*AdatFaizOran/AdatYilGunSayisi,2))</f>
        <v>0</v>
      </c>
      <c r="J177" s="22"/>
    </row>
    <row r="178" customFormat="false" ht="15" hidden="false" customHeight="false" outlineLevel="0" collapsed="false">
      <c r="A178" s="21"/>
      <c r="B178" s="22"/>
      <c r="C178" s="22"/>
      <c r="D178" s="23"/>
      <c r="E178" s="20" t="str">
        <f aca="false">IF($A178="","",IF($C178="Borç",-$D178,$D178))</f>
        <v/>
      </c>
      <c r="F178" s="18" t="str">
        <f aca="false">IF($A178="","",IFERROR(IF(INDEX(tblOrtak[Ortak Adı],ROW($A178)-ROW(tblOrtak[[#Headers],[Tarih]])-1)=$B178,INDEX(tblOrtak[Bakiye (₺)],ROW($A178)-ROW(tblOrtak[[#Headers],[Tarih]])-1)+$E178,$E178),$E178))</f>
        <v/>
      </c>
      <c r="G178" s="19" t="str">
        <f aca="false">IF($A178="","",IFERROR(IF(INDEX(tblOrtak[Tarih],ROW($A178)-ROW(tblOrtak[[#Headers],[Tarih]])+1)=0,RaporTarihi,INDEX(tblOrtak[Tarih],ROW($A178)-ROW(tblOrtak[[#Headers],[Tarih]])+1))-$A178,RaporTarihi-$A178))</f>
        <v/>
      </c>
      <c r="H178" s="18" t="n">
        <f aca="false">IF($F178="",0,ROUND($F178*$G178,0))</f>
        <v>0</v>
      </c>
      <c r="I178" s="18" t="n">
        <f aca="false">IF($H178="",0,ROUND($H178*AdatFaizOran/AdatYilGunSayisi,2))</f>
        <v>0</v>
      </c>
      <c r="J178" s="22"/>
    </row>
    <row r="179" customFormat="false" ht="15" hidden="false" customHeight="false" outlineLevel="0" collapsed="false">
      <c r="A179" s="21"/>
      <c r="B179" s="22"/>
      <c r="C179" s="22"/>
      <c r="D179" s="23"/>
      <c r="E179" s="20" t="str">
        <f aca="false">IF($A179="","",IF($C179="Borç",-$D179,$D179))</f>
        <v/>
      </c>
      <c r="F179" s="18" t="str">
        <f aca="false">IF($A179="","",IFERROR(IF(INDEX(tblOrtak[Ortak Adı],ROW($A179)-ROW(tblOrtak[[#Headers],[Tarih]])-1)=$B179,INDEX(tblOrtak[Bakiye (₺)],ROW($A179)-ROW(tblOrtak[[#Headers],[Tarih]])-1)+$E179,$E179),$E179))</f>
        <v/>
      </c>
      <c r="G179" s="19" t="str">
        <f aca="false">IF($A179="","",IFERROR(IF(INDEX(tblOrtak[Tarih],ROW($A179)-ROW(tblOrtak[[#Headers],[Tarih]])+1)=0,RaporTarihi,INDEX(tblOrtak[Tarih],ROW($A179)-ROW(tblOrtak[[#Headers],[Tarih]])+1))-$A179,RaporTarihi-$A179))</f>
        <v/>
      </c>
      <c r="H179" s="18" t="n">
        <f aca="false">IF($F179="",0,ROUND($F179*$G179,0))</f>
        <v>0</v>
      </c>
      <c r="I179" s="18" t="n">
        <f aca="false">IF($H179="",0,ROUND($H179*AdatFaizOran/AdatYilGunSayisi,2))</f>
        <v>0</v>
      </c>
      <c r="J179" s="22"/>
    </row>
    <row r="180" customFormat="false" ht="15" hidden="false" customHeight="false" outlineLevel="0" collapsed="false">
      <c r="A180" s="21"/>
      <c r="B180" s="22"/>
      <c r="C180" s="22"/>
      <c r="D180" s="23"/>
      <c r="E180" s="20" t="str">
        <f aca="false">IF($A180="","",IF($C180="Borç",-$D180,$D180))</f>
        <v/>
      </c>
      <c r="F180" s="18" t="str">
        <f aca="false">IF($A180="","",IFERROR(IF(INDEX(tblOrtak[Ortak Adı],ROW($A180)-ROW(tblOrtak[[#Headers],[Tarih]])-1)=$B180,INDEX(tblOrtak[Bakiye (₺)],ROW($A180)-ROW(tblOrtak[[#Headers],[Tarih]])-1)+$E180,$E180),$E180))</f>
        <v/>
      </c>
      <c r="G180" s="19" t="str">
        <f aca="false">IF($A180="","",IFERROR(IF(INDEX(tblOrtak[Tarih],ROW($A180)-ROW(tblOrtak[[#Headers],[Tarih]])+1)=0,RaporTarihi,INDEX(tblOrtak[Tarih],ROW($A180)-ROW(tblOrtak[[#Headers],[Tarih]])+1))-$A180,RaporTarihi-$A180))</f>
        <v/>
      </c>
      <c r="H180" s="18" t="n">
        <f aca="false">IF($F180="",0,ROUND($F180*$G180,0))</f>
        <v>0</v>
      </c>
      <c r="I180" s="18" t="n">
        <f aca="false">IF($H180="",0,ROUND($H180*AdatFaizOran/AdatYilGunSayisi,2))</f>
        <v>0</v>
      </c>
      <c r="J180" s="22"/>
    </row>
    <row r="181" customFormat="false" ht="15" hidden="false" customHeight="false" outlineLevel="0" collapsed="false">
      <c r="A181" s="21"/>
      <c r="B181" s="22"/>
      <c r="C181" s="22"/>
      <c r="D181" s="23"/>
      <c r="E181" s="20" t="str">
        <f aca="false">IF($A181="","",IF($C181="Borç",-$D181,$D181))</f>
        <v/>
      </c>
      <c r="F181" s="18" t="str">
        <f aca="false">IF($A181="","",IFERROR(IF(INDEX(tblOrtak[Ortak Adı],ROW($A181)-ROW(tblOrtak[[#Headers],[Tarih]])-1)=$B181,INDEX(tblOrtak[Bakiye (₺)],ROW($A181)-ROW(tblOrtak[[#Headers],[Tarih]])-1)+$E181,$E181),$E181))</f>
        <v/>
      </c>
      <c r="G181" s="19" t="str">
        <f aca="false">IF($A181="","",IFERROR(IF(INDEX(tblOrtak[Tarih],ROW($A181)-ROW(tblOrtak[[#Headers],[Tarih]])+1)=0,RaporTarihi,INDEX(tblOrtak[Tarih],ROW($A181)-ROW(tblOrtak[[#Headers],[Tarih]])+1))-$A181,RaporTarihi-$A181))</f>
        <v/>
      </c>
      <c r="H181" s="18" t="n">
        <f aca="false">IF($F181="",0,ROUND($F181*$G181,0))</f>
        <v>0</v>
      </c>
      <c r="I181" s="18" t="n">
        <f aca="false">IF($H181="",0,ROUND($H181*AdatFaizOran/AdatYilGunSayisi,2))</f>
        <v>0</v>
      </c>
      <c r="J181" s="22"/>
    </row>
    <row r="182" customFormat="false" ht="15" hidden="false" customHeight="false" outlineLevel="0" collapsed="false">
      <c r="A182" s="21"/>
      <c r="B182" s="22"/>
      <c r="C182" s="22"/>
      <c r="D182" s="23"/>
      <c r="E182" s="20" t="str">
        <f aca="false">IF($A182="","",IF($C182="Borç",-$D182,$D182))</f>
        <v/>
      </c>
      <c r="F182" s="18" t="str">
        <f aca="false">IF($A182="","",IFERROR(IF(INDEX(tblOrtak[Ortak Adı],ROW($A182)-ROW(tblOrtak[[#Headers],[Tarih]])-1)=$B182,INDEX(tblOrtak[Bakiye (₺)],ROW($A182)-ROW(tblOrtak[[#Headers],[Tarih]])-1)+$E182,$E182),$E182))</f>
        <v/>
      </c>
      <c r="G182" s="19" t="str">
        <f aca="false">IF($A182="","",IFERROR(IF(INDEX(tblOrtak[Tarih],ROW($A182)-ROW(tblOrtak[[#Headers],[Tarih]])+1)=0,RaporTarihi,INDEX(tblOrtak[Tarih],ROW($A182)-ROW(tblOrtak[[#Headers],[Tarih]])+1))-$A182,RaporTarihi-$A182))</f>
        <v/>
      </c>
      <c r="H182" s="18" t="n">
        <f aca="false">IF($F182="",0,ROUND($F182*$G182,0))</f>
        <v>0</v>
      </c>
      <c r="I182" s="18" t="n">
        <f aca="false">IF($H182="",0,ROUND($H182*AdatFaizOran/AdatYilGunSayisi,2))</f>
        <v>0</v>
      </c>
      <c r="J182" s="22"/>
    </row>
    <row r="183" customFormat="false" ht="15" hidden="false" customHeight="false" outlineLevel="0" collapsed="false">
      <c r="A183" s="21"/>
      <c r="B183" s="22"/>
      <c r="C183" s="22"/>
      <c r="D183" s="23"/>
      <c r="E183" s="20" t="str">
        <f aca="false">IF($A183="","",IF($C183="Borç",-$D183,$D183))</f>
        <v/>
      </c>
      <c r="F183" s="18" t="str">
        <f aca="false">IF($A183="","",IFERROR(IF(INDEX(tblOrtak[Ortak Adı],ROW($A183)-ROW(tblOrtak[[#Headers],[Tarih]])-1)=$B183,INDEX(tblOrtak[Bakiye (₺)],ROW($A183)-ROW(tblOrtak[[#Headers],[Tarih]])-1)+$E183,$E183),$E183))</f>
        <v/>
      </c>
      <c r="G183" s="19" t="str">
        <f aca="false">IF($A183="","",IFERROR(IF(INDEX(tblOrtak[Tarih],ROW($A183)-ROW(tblOrtak[[#Headers],[Tarih]])+1)=0,RaporTarihi,INDEX(tblOrtak[Tarih],ROW($A183)-ROW(tblOrtak[[#Headers],[Tarih]])+1))-$A183,RaporTarihi-$A183))</f>
        <v/>
      </c>
      <c r="H183" s="18" t="n">
        <f aca="false">IF($F183="",0,ROUND($F183*$G183,0))</f>
        <v>0</v>
      </c>
      <c r="I183" s="18" t="n">
        <f aca="false">IF($H183="",0,ROUND($H183*AdatFaizOran/AdatYilGunSayisi,2))</f>
        <v>0</v>
      </c>
      <c r="J183" s="22"/>
    </row>
    <row r="184" customFormat="false" ht="15" hidden="false" customHeight="false" outlineLevel="0" collapsed="false">
      <c r="A184" s="21"/>
      <c r="B184" s="22"/>
      <c r="C184" s="22"/>
      <c r="D184" s="23"/>
      <c r="E184" s="20" t="str">
        <f aca="false">IF($A184="","",IF($C184="Borç",-$D184,$D184))</f>
        <v/>
      </c>
      <c r="F184" s="18" t="str">
        <f aca="false">IF($A184="","",IFERROR(IF(INDEX(tblOrtak[Ortak Adı],ROW($A184)-ROW(tblOrtak[[#Headers],[Tarih]])-1)=$B184,INDEX(tblOrtak[Bakiye (₺)],ROW($A184)-ROW(tblOrtak[[#Headers],[Tarih]])-1)+$E184,$E184),$E184))</f>
        <v/>
      </c>
      <c r="G184" s="19" t="str">
        <f aca="false">IF($A184="","",IFERROR(IF(INDEX(tblOrtak[Tarih],ROW($A184)-ROW(tblOrtak[[#Headers],[Tarih]])+1)=0,RaporTarihi,INDEX(tblOrtak[Tarih],ROW($A184)-ROW(tblOrtak[[#Headers],[Tarih]])+1))-$A184,RaporTarihi-$A184))</f>
        <v/>
      </c>
      <c r="H184" s="18" t="n">
        <f aca="false">IF($F184="",0,ROUND($F184*$G184,0))</f>
        <v>0</v>
      </c>
      <c r="I184" s="18" t="n">
        <f aca="false">IF($H184="",0,ROUND($H184*AdatFaizOran/AdatYilGunSayisi,2))</f>
        <v>0</v>
      </c>
      <c r="J184" s="22"/>
    </row>
    <row r="185" customFormat="false" ht="15" hidden="false" customHeight="false" outlineLevel="0" collapsed="false">
      <c r="A185" s="21"/>
      <c r="B185" s="22"/>
      <c r="C185" s="22"/>
      <c r="D185" s="23"/>
      <c r="E185" s="20" t="str">
        <f aca="false">IF($A185="","",IF($C185="Borç",-$D185,$D185))</f>
        <v/>
      </c>
      <c r="F185" s="18" t="str">
        <f aca="false">IF($A185="","",IFERROR(IF(INDEX(tblOrtak[Ortak Adı],ROW($A185)-ROW(tblOrtak[[#Headers],[Tarih]])-1)=$B185,INDEX(tblOrtak[Bakiye (₺)],ROW($A185)-ROW(tblOrtak[[#Headers],[Tarih]])-1)+$E185,$E185),$E185))</f>
        <v/>
      </c>
      <c r="G185" s="19" t="str">
        <f aca="false">IF($A185="","",IFERROR(IF(INDEX(tblOrtak[Tarih],ROW($A185)-ROW(tblOrtak[[#Headers],[Tarih]])+1)=0,RaporTarihi,INDEX(tblOrtak[Tarih],ROW($A185)-ROW(tblOrtak[[#Headers],[Tarih]])+1))-$A185,RaporTarihi-$A185))</f>
        <v/>
      </c>
      <c r="H185" s="18" t="n">
        <f aca="false">IF($F185="",0,ROUND($F185*$G185,0))</f>
        <v>0</v>
      </c>
      <c r="I185" s="18" t="n">
        <f aca="false">IF($H185="",0,ROUND($H185*AdatFaizOran/AdatYilGunSayisi,2))</f>
        <v>0</v>
      </c>
      <c r="J185" s="22"/>
    </row>
    <row r="186" customFormat="false" ht="15" hidden="false" customHeight="false" outlineLevel="0" collapsed="false">
      <c r="A186" s="21"/>
      <c r="B186" s="22"/>
      <c r="C186" s="22"/>
      <c r="D186" s="23"/>
      <c r="E186" s="20" t="str">
        <f aca="false">IF($A186="","",IF($C186="Borç",-$D186,$D186))</f>
        <v/>
      </c>
      <c r="F186" s="18" t="str">
        <f aca="false">IF($A186="","",IFERROR(IF(INDEX(tblOrtak[Ortak Adı],ROW($A186)-ROW(tblOrtak[[#Headers],[Tarih]])-1)=$B186,INDEX(tblOrtak[Bakiye (₺)],ROW($A186)-ROW(tblOrtak[[#Headers],[Tarih]])-1)+$E186,$E186),$E186))</f>
        <v/>
      </c>
      <c r="G186" s="19" t="str">
        <f aca="false">IF($A186="","",IFERROR(IF(INDEX(tblOrtak[Tarih],ROW($A186)-ROW(tblOrtak[[#Headers],[Tarih]])+1)=0,RaporTarihi,INDEX(tblOrtak[Tarih],ROW($A186)-ROW(tblOrtak[[#Headers],[Tarih]])+1))-$A186,RaporTarihi-$A186))</f>
        <v/>
      </c>
      <c r="H186" s="18" t="n">
        <f aca="false">IF($F186="",0,ROUND($F186*$G186,0))</f>
        <v>0</v>
      </c>
      <c r="I186" s="18" t="n">
        <f aca="false">IF($H186="",0,ROUND($H186*AdatFaizOran/AdatYilGunSayisi,2))</f>
        <v>0</v>
      </c>
      <c r="J186" s="22"/>
    </row>
    <row r="187" customFormat="false" ht="15" hidden="false" customHeight="false" outlineLevel="0" collapsed="false">
      <c r="A187" s="21"/>
      <c r="B187" s="22"/>
      <c r="C187" s="22"/>
      <c r="D187" s="23"/>
      <c r="E187" s="20" t="str">
        <f aca="false">IF($A187="","",IF($C187="Borç",-$D187,$D187))</f>
        <v/>
      </c>
      <c r="F187" s="18" t="str">
        <f aca="false">IF($A187="","",IFERROR(IF(INDEX(tblOrtak[Ortak Adı],ROW($A187)-ROW(tblOrtak[[#Headers],[Tarih]])-1)=$B187,INDEX(tblOrtak[Bakiye (₺)],ROW($A187)-ROW(tblOrtak[[#Headers],[Tarih]])-1)+$E187,$E187),$E187))</f>
        <v/>
      </c>
      <c r="G187" s="19" t="str">
        <f aca="false">IF($A187="","",IFERROR(IF(INDEX(tblOrtak[Tarih],ROW($A187)-ROW(tblOrtak[[#Headers],[Tarih]])+1)=0,RaporTarihi,INDEX(tblOrtak[Tarih],ROW($A187)-ROW(tblOrtak[[#Headers],[Tarih]])+1))-$A187,RaporTarihi-$A187))</f>
        <v/>
      </c>
      <c r="H187" s="18" t="n">
        <f aca="false">IF($F187="",0,ROUND($F187*$G187,0))</f>
        <v>0</v>
      </c>
      <c r="I187" s="18" t="n">
        <f aca="false">IF($H187="",0,ROUND($H187*AdatFaizOran/AdatYilGunSayisi,2))</f>
        <v>0</v>
      </c>
      <c r="J187" s="22"/>
    </row>
    <row r="188" customFormat="false" ht="15" hidden="false" customHeight="false" outlineLevel="0" collapsed="false">
      <c r="A188" s="21"/>
      <c r="B188" s="22"/>
      <c r="C188" s="22"/>
      <c r="D188" s="23"/>
      <c r="E188" s="20" t="str">
        <f aca="false">IF($A188="","",IF($C188="Borç",-$D188,$D188))</f>
        <v/>
      </c>
      <c r="F188" s="18" t="str">
        <f aca="false">IF($A188="","",IFERROR(IF(INDEX(tblOrtak[Ortak Adı],ROW($A188)-ROW(tblOrtak[[#Headers],[Tarih]])-1)=$B188,INDEX(tblOrtak[Bakiye (₺)],ROW($A188)-ROW(tblOrtak[[#Headers],[Tarih]])-1)+$E188,$E188),$E188))</f>
        <v/>
      </c>
      <c r="G188" s="19" t="str">
        <f aca="false">IF($A188="","",IFERROR(IF(INDEX(tblOrtak[Tarih],ROW($A188)-ROW(tblOrtak[[#Headers],[Tarih]])+1)=0,RaporTarihi,INDEX(tblOrtak[Tarih],ROW($A188)-ROW(tblOrtak[[#Headers],[Tarih]])+1))-$A188,RaporTarihi-$A188))</f>
        <v/>
      </c>
      <c r="H188" s="18" t="n">
        <f aca="false">IF($F188="",0,ROUND($F188*$G188,0))</f>
        <v>0</v>
      </c>
      <c r="I188" s="18" t="n">
        <f aca="false">IF($H188="",0,ROUND($H188*AdatFaizOran/AdatYilGunSayisi,2))</f>
        <v>0</v>
      </c>
      <c r="J188" s="22"/>
    </row>
    <row r="189" customFormat="false" ht="15" hidden="false" customHeight="false" outlineLevel="0" collapsed="false">
      <c r="A189" s="21"/>
      <c r="B189" s="22"/>
      <c r="C189" s="22"/>
      <c r="D189" s="23"/>
      <c r="E189" s="20" t="str">
        <f aca="false">IF($A189="","",IF($C189="Borç",-$D189,$D189))</f>
        <v/>
      </c>
      <c r="F189" s="18" t="str">
        <f aca="false">IF($A189="","",IFERROR(IF(INDEX(tblOrtak[Ortak Adı],ROW($A189)-ROW(tblOrtak[[#Headers],[Tarih]])-1)=$B189,INDEX(tblOrtak[Bakiye (₺)],ROW($A189)-ROW(tblOrtak[[#Headers],[Tarih]])-1)+$E189,$E189),$E189))</f>
        <v/>
      </c>
      <c r="G189" s="19" t="str">
        <f aca="false">IF($A189="","",IFERROR(IF(INDEX(tblOrtak[Tarih],ROW($A189)-ROW(tblOrtak[[#Headers],[Tarih]])+1)=0,RaporTarihi,INDEX(tblOrtak[Tarih],ROW($A189)-ROW(tblOrtak[[#Headers],[Tarih]])+1))-$A189,RaporTarihi-$A189))</f>
        <v/>
      </c>
      <c r="H189" s="18" t="n">
        <f aca="false">IF($F189="",0,ROUND($F189*$G189,0))</f>
        <v>0</v>
      </c>
      <c r="I189" s="18" t="n">
        <f aca="false">IF($H189="",0,ROUND($H189*AdatFaizOran/AdatYilGunSayisi,2))</f>
        <v>0</v>
      </c>
      <c r="J189" s="22"/>
    </row>
    <row r="190" customFormat="false" ht="15" hidden="false" customHeight="false" outlineLevel="0" collapsed="false">
      <c r="A190" s="21"/>
      <c r="B190" s="22"/>
      <c r="C190" s="22"/>
      <c r="D190" s="23"/>
      <c r="E190" s="20" t="str">
        <f aca="false">IF($A190="","",IF($C190="Borç",-$D190,$D190))</f>
        <v/>
      </c>
      <c r="F190" s="18" t="str">
        <f aca="false">IF($A190="","",IFERROR(IF(INDEX(tblOrtak[Ortak Adı],ROW($A190)-ROW(tblOrtak[[#Headers],[Tarih]])-1)=$B190,INDEX(tblOrtak[Bakiye (₺)],ROW($A190)-ROW(tblOrtak[[#Headers],[Tarih]])-1)+$E190,$E190),$E190))</f>
        <v/>
      </c>
      <c r="G190" s="19" t="str">
        <f aca="false">IF($A190="","",IFERROR(IF(INDEX(tblOrtak[Tarih],ROW($A190)-ROW(tblOrtak[[#Headers],[Tarih]])+1)=0,RaporTarihi,INDEX(tblOrtak[Tarih],ROW($A190)-ROW(tblOrtak[[#Headers],[Tarih]])+1))-$A190,RaporTarihi-$A190))</f>
        <v/>
      </c>
      <c r="H190" s="18" t="n">
        <f aca="false">IF($F190="",0,ROUND($F190*$G190,0))</f>
        <v>0</v>
      </c>
      <c r="I190" s="18" t="n">
        <f aca="false">IF($H190="",0,ROUND($H190*AdatFaizOran/AdatYilGunSayisi,2))</f>
        <v>0</v>
      </c>
      <c r="J190" s="22"/>
    </row>
    <row r="191" customFormat="false" ht="15" hidden="false" customHeight="false" outlineLevel="0" collapsed="false">
      <c r="A191" s="21"/>
      <c r="B191" s="22"/>
      <c r="C191" s="22"/>
      <c r="D191" s="23"/>
      <c r="E191" s="20" t="str">
        <f aca="false">IF($A191="","",IF($C191="Borç",-$D191,$D191))</f>
        <v/>
      </c>
      <c r="F191" s="18" t="str">
        <f aca="false">IF($A191="","",IFERROR(IF(INDEX(tblOrtak[Ortak Adı],ROW($A191)-ROW(tblOrtak[[#Headers],[Tarih]])-1)=$B191,INDEX(tblOrtak[Bakiye (₺)],ROW($A191)-ROW(tblOrtak[[#Headers],[Tarih]])-1)+$E191,$E191),$E191))</f>
        <v/>
      </c>
      <c r="G191" s="19" t="str">
        <f aca="false">IF($A191="","",IFERROR(IF(INDEX(tblOrtak[Tarih],ROW($A191)-ROW(tblOrtak[[#Headers],[Tarih]])+1)=0,RaporTarihi,INDEX(tblOrtak[Tarih],ROW($A191)-ROW(tblOrtak[[#Headers],[Tarih]])+1))-$A191,RaporTarihi-$A191))</f>
        <v/>
      </c>
      <c r="H191" s="18" t="n">
        <f aca="false">IF($F191="",0,ROUND($F191*$G191,0))</f>
        <v>0</v>
      </c>
      <c r="I191" s="18" t="n">
        <f aca="false">IF($H191="",0,ROUND($H191*AdatFaizOran/AdatYilGunSayisi,2))</f>
        <v>0</v>
      </c>
      <c r="J191" s="22"/>
    </row>
    <row r="192" customFormat="false" ht="15" hidden="false" customHeight="false" outlineLevel="0" collapsed="false">
      <c r="A192" s="21"/>
      <c r="B192" s="22"/>
      <c r="C192" s="22"/>
      <c r="D192" s="23"/>
      <c r="E192" s="20" t="str">
        <f aca="false">IF($A192="","",IF($C192="Borç",-$D192,$D192))</f>
        <v/>
      </c>
      <c r="F192" s="18" t="str">
        <f aca="false">IF($A192="","",IFERROR(IF(INDEX(tblOrtak[Ortak Adı],ROW($A192)-ROW(tblOrtak[[#Headers],[Tarih]])-1)=$B192,INDEX(tblOrtak[Bakiye (₺)],ROW($A192)-ROW(tblOrtak[[#Headers],[Tarih]])-1)+$E192,$E192),$E192))</f>
        <v/>
      </c>
      <c r="G192" s="19" t="str">
        <f aca="false">IF($A192="","",IFERROR(IF(INDEX(tblOrtak[Tarih],ROW($A192)-ROW(tblOrtak[[#Headers],[Tarih]])+1)=0,RaporTarihi,INDEX(tblOrtak[Tarih],ROW($A192)-ROW(tblOrtak[[#Headers],[Tarih]])+1))-$A192,RaporTarihi-$A192))</f>
        <v/>
      </c>
      <c r="H192" s="18" t="n">
        <f aca="false">IF($F192="",0,ROUND($F192*$G192,0))</f>
        <v>0</v>
      </c>
      <c r="I192" s="18" t="n">
        <f aca="false">IF($H192="",0,ROUND($H192*AdatFaizOran/AdatYilGunSayisi,2))</f>
        <v>0</v>
      </c>
      <c r="J192" s="22"/>
    </row>
    <row r="193" customFormat="false" ht="15" hidden="false" customHeight="false" outlineLevel="0" collapsed="false">
      <c r="A193" s="21"/>
      <c r="B193" s="22"/>
      <c r="C193" s="22"/>
      <c r="D193" s="23"/>
      <c r="E193" s="20" t="str">
        <f aca="false">IF($A193="","",IF($C193="Borç",-$D193,$D193))</f>
        <v/>
      </c>
      <c r="F193" s="18" t="str">
        <f aca="false">IF($A193="","",IFERROR(IF(INDEX(tblOrtak[Ortak Adı],ROW($A193)-ROW(tblOrtak[[#Headers],[Tarih]])-1)=$B193,INDEX(tblOrtak[Bakiye (₺)],ROW($A193)-ROW(tblOrtak[[#Headers],[Tarih]])-1)+$E193,$E193),$E193))</f>
        <v/>
      </c>
      <c r="G193" s="19" t="str">
        <f aca="false">IF($A193="","",IFERROR(IF(INDEX(tblOrtak[Tarih],ROW($A193)-ROW(tblOrtak[[#Headers],[Tarih]])+1)=0,RaporTarihi,INDEX(tblOrtak[Tarih],ROW($A193)-ROW(tblOrtak[[#Headers],[Tarih]])+1))-$A193,RaporTarihi-$A193))</f>
        <v/>
      </c>
      <c r="H193" s="18" t="n">
        <f aca="false">IF($F193="",0,ROUND($F193*$G193,0))</f>
        <v>0</v>
      </c>
      <c r="I193" s="18" t="n">
        <f aca="false">IF($H193="",0,ROUND($H193*AdatFaizOran/AdatYilGunSayisi,2))</f>
        <v>0</v>
      </c>
      <c r="J193" s="22"/>
    </row>
    <row r="194" customFormat="false" ht="15" hidden="false" customHeight="false" outlineLevel="0" collapsed="false">
      <c r="A194" s="21"/>
      <c r="B194" s="22"/>
      <c r="C194" s="22"/>
      <c r="D194" s="23"/>
      <c r="E194" s="20" t="str">
        <f aca="false">IF($A194="","",IF($C194="Borç",-$D194,$D194))</f>
        <v/>
      </c>
      <c r="F194" s="18" t="str">
        <f aca="false">IF($A194="","",IFERROR(IF(INDEX(tblOrtak[Ortak Adı],ROW($A194)-ROW(tblOrtak[[#Headers],[Tarih]])-1)=$B194,INDEX(tblOrtak[Bakiye (₺)],ROW($A194)-ROW(tblOrtak[[#Headers],[Tarih]])-1)+$E194,$E194),$E194))</f>
        <v/>
      </c>
      <c r="G194" s="19" t="str">
        <f aca="false">IF($A194="","",IFERROR(IF(INDEX(tblOrtak[Tarih],ROW($A194)-ROW(tblOrtak[[#Headers],[Tarih]])+1)=0,RaporTarihi,INDEX(tblOrtak[Tarih],ROW($A194)-ROW(tblOrtak[[#Headers],[Tarih]])+1))-$A194,RaporTarihi-$A194))</f>
        <v/>
      </c>
      <c r="H194" s="18" t="n">
        <f aca="false">IF($F194="",0,ROUND($F194*$G194,0))</f>
        <v>0</v>
      </c>
      <c r="I194" s="18" t="n">
        <f aca="false">IF($H194="",0,ROUND($H194*AdatFaizOran/AdatYilGunSayisi,2))</f>
        <v>0</v>
      </c>
      <c r="J194" s="22"/>
    </row>
    <row r="195" customFormat="false" ht="15" hidden="false" customHeight="false" outlineLevel="0" collapsed="false">
      <c r="A195" s="21"/>
      <c r="B195" s="22"/>
      <c r="C195" s="22"/>
      <c r="D195" s="23"/>
      <c r="E195" s="20" t="str">
        <f aca="false">IF($A195="","",IF($C195="Borç",-$D195,$D195))</f>
        <v/>
      </c>
      <c r="F195" s="18" t="str">
        <f aca="false">IF($A195="","",IFERROR(IF(INDEX(tblOrtak[Ortak Adı],ROW($A195)-ROW(tblOrtak[[#Headers],[Tarih]])-1)=$B195,INDEX(tblOrtak[Bakiye (₺)],ROW($A195)-ROW(tblOrtak[[#Headers],[Tarih]])-1)+$E195,$E195),$E195))</f>
        <v/>
      </c>
      <c r="G195" s="19" t="str">
        <f aca="false">IF($A195="","",IFERROR(IF(INDEX(tblOrtak[Tarih],ROW($A195)-ROW(tblOrtak[[#Headers],[Tarih]])+1)=0,RaporTarihi,INDEX(tblOrtak[Tarih],ROW($A195)-ROW(tblOrtak[[#Headers],[Tarih]])+1))-$A195,RaporTarihi-$A195))</f>
        <v/>
      </c>
      <c r="H195" s="18" t="n">
        <f aca="false">IF($F195="",0,ROUND($F195*$G195,0))</f>
        <v>0</v>
      </c>
      <c r="I195" s="18" t="n">
        <f aca="false">IF($H195="",0,ROUND($H195*AdatFaizOran/AdatYilGunSayisi,2))</f>
        <v>0</v>
      </c>
      <c r="J195" s="22"/>
    </row>
    <row r="196" customFormat="false" ht="15" hidden="false" customHeight="false" outlineLevel="0" collapsed="false">
      <c r="A196" s="21"/>
      <c r="B196" s="22"/>
      <c r="C196" s="22"/>
      <c r="D196" s="23"/>
      <c r="E196" s="20" t="str">
        <f aca="false">IF($A196="","",IF($C196="Borç",-$D196,$D196))</f>
        <v/>
      </c>
      <c r="F196" s="18" t="str">
        <f aca="false">IF($A196="","",IFERROR(IF(INDEX(tblOrtak[Ortak Adı],ROW($A196)-ROW(tblOrtak[[#Headers],[Tarih]])-1)=$B196,INDEX(tblOrtak[Bakiye (₺)],ROW($A196)-ROW(tblOrtak[[#Headers],[Tarih]])-1)+$E196,$E196),$E196))</f>
        <v/>
      </c>
      <c r="G196" s="19" t="str">
        <f aca="false">IF($A196="","",IFERROR(IF(INDEX(tblOrtak[Tarih],ROW($A196)-ROW(tblOrtak[[#Headers],[Tarih]])+1)=0,RaporTarihi,INDEX(tblOrtak[Tarih],ROW($A196)-ROW(tblOrtak[[#Headers],[Tarih]])+1))-$A196,RaporTarihi-$A196))</f>
        <v/>
      </c>
      <c r="H196" s="18" t="n">
        <f aca="false">IF($F196="",0,ROUND($F196*$G196,0))</f>
        <v>0</v>
      </c>
      <c r="I196" s="18" t="n">
        <f aca="false">IF($H196="",0,ROUND($H196*AdatFaizOran/AdatYilGunSayisi,2))</f>
        <v>0</v>
      </c>
      <c r="J196" s="22"/>
    </row>
    <row r="197" customFormat="false" ht="15" hidden="false" customHeight="false" outlineLevel="0" collapsed="false">
      <c r="A197" s="21"/>
      <c r="B197" s="22"/>
      <c r="C197" s="22"/>
      <c r="D197" s="23"/>
      <c r="E197" s="20" t="str">
        <f aca="false">IF($A197="","",IF($C197="Borç",-$D197,$D197))</f>
        <v/>
      </c>
      <c r="F197" s="18" t="str">
        <f aca="false">IF($A197="","",IFERROR(IF(INDEX(tblOrtak[Ortak Adı],ROW($A197)-ROW(tblOrtak[[#Headers],[Tarih]])-1)=$B197,INDEX(tblOrtak[Bakiye (₺)],ROW($A197)-ROW(tblOrtak[[#Headers],[Tarih]])-1)+$E197,$E197),$E197))</f>
        <v/>
      </c>
      <c r="G197" s="19" t="str">
        <f aca="false">IF($A197="","",IFERROR(IF(INDEX(tblOrtak[Tarih],ROW($A197)-ROW(tblOrtak[[#Headers],[Tarih]])+1)=0,RaporTarihi,INDEX(tblOrtak[Tarih],ROW($A197)-ROW(tblOrtak[[#Headers],[Tarih]])+1))-$A197,RaporTarihi-$A197))</f>
        <v/>
      </c>
      <c r="H197" s="18" t="n">
        <f aca="false">IF($F197="",0,ROUND($F197*$G197,0))</f>
        <v>0</v>
      </c>
      <c r="I197" s="18" t="n">
        <f aca="false">IF($H197="",0,ROUND($H197*AdatFaizOran/AdatYilGunSayisi,2))</f>
        <v>0</v>
      </c>
      <c r="J197" s="22"/>
    </row>
    <row r="198" customFormat="false" ht="15" hidden="false" customHeight="false" outlineLevel="0" collapsed="false">
      <c r="A198" s="21"/>
      <c r="B198" s="22"/>
      <c r="C198" s="22"/>
      <c r="D198" s="23"/>
      <c r="E198" s="20" t="str">
        <f aca="false">IF($A198="","",IF($C198="Borç",-$D198,$D198))</f>
        <v/>
      </c>
      <c r="F198" s="18" t="str">
        <f aca="false">IF($A198="","",IFERROR(IF(INDEX(tblOrtak[Ortak Adı],ROW($A198)-ROW(tblOrtak[[#Headers],[Tarih]])-1)=$B198,INDEX(tblOrtak[Bakiye (₺)],ROW($A198)-ROW(tblOrtak[[#Headers],[Tarih]])-1)+$E198,$E198),$E198))</f>
        <v/>
      </c>
      <c r="G198" s="19" t="str">
        <f aca="false">IF($A198="","",IFERROR(IF(INDEX(tblOrtak[Tarih],ROW($A198)-ROW(tblOrtak[[#Headers],[Tarih]])+1)=0,RaporTarihi,INDEX(tblOrtak[Tarih],ROW($A198)-ROW(tblOrtak[[#Headers],[Tarih]])+1))-$A198,RaporTarihi-$A198))</f>
        <v/>
      </c>
      <c r="H198" s="18" t="n">
        <f aca="false">IF($F198="",0,ROUND($F198*$G198,0))</f>
        <v>0</v>
      </c>
      <c r="I198" s="18" t="n">
        <f aca="false">IF($H198="",0,ROUND($H198*AdatFaizOran/AdatYilGunSayisi,2))</f>
        <v>0</v>
      </c>
      <c r="J198" s="22"/>
    </row>
    <row r="199" customFormat="false" ht="15" hidden="false" customHeight="false" outlineLevel="0" collapsed="false">
      <c r="A199" s="21"/>
      <c r="B199" s="22"/>
      <c r="C199" s="22"/>
      <c r="D199" s="23"/>
      <c r="E199" s="20" t="str">
        <f aca="false">IF($A199="","",IF($C199="Borç",-$D199,$D199))</f>
        <v/>
      </c>
      <c r="F199" s="18" t="str">
        <f aca="false">IF($A199="","",IFERROR(IF(INDEX(tblOrtak[Ortak Adı],ROW($A199)-ROW(tblOrtak[[#Headers],[Tarih]])-1)=$B199,INDEX(tblOrtak[Bakiye (₺)],ROW($A199)-ROW(tblOrtak[[#Headers],[Tarih]])-1)+$E199,$E199),$E199))</f>
        <v/>
      </c>
      <c r="G199" s="19" t="str">
        <f aca="false">IF($A199="","",IFERROR(IF(INDEX(tblOrtak[Tarih],ROW($A199)-ROW(tblOrtak[[#Headers],[Tarih]])+1)=0,RaporTarihi,INDEX(tblOrtak[Tarih],ROW($A199)-ROW(tblOrtak[[#Headers],[Tarih]])+1))-$A199,RaporTarihi-$A199))</f>
        <v/>
      </c>
      <c r="H199" s="18" t="n">
        <f aca="false">IF($F199="",0,ROUND($F199*$G199,0))</f>
        <v>0</v>
      </c>
      <c r="I199" s="18" t="n">
        <f aca="false">IF($H199="",0,ROUND($H199*AdatFaizOran/AdatYilGunSayisi,2))</f>
        <v>0</v>
      </c>
      <c r="J199" s="22"/>
    </row>
    <row r="200" customFormat="false" ht="15" hidden="false" customHeight="false" outlineLevel="0" collapsed="false">
      <c r="A200" s="21"/>
      <c r="B200" s="22"/>
      <c r="C200" s="22"/>
      <c r="D200" s="23"/>
      <c r="E200" s="20" t="str">
        <f aca="false">IF($A200="","",IF($C200="Borç",-$D200,$D200))</f>
        <v/>
      </c>
      <c r="F200" s="18" t="str">
        <f aca="false">IF($A200="","",IFERROR(IF(INDEX(tblOrtak[Ortak Adı],ROW($A200)-ROW(tblOrtak[[#Headers],[Tarih]])-1)=$B200,INDEX(tblOrtak[Bakiye (₺)],ROW($A200)-ROW(tblOrtak[[#Headers],[Tarih]])-1)+$E200,$E200),$E200))</f>
        <v/>
      </c>
      <c r="G200" s="19" t="str">
        <f aca="false">IF($A200="","",IFERROR(IF(INDEX(tblOrtak[Tarih],ROW($A200)-ROW(tblOrtak[[#Headers],[Tarih]])+1)=0,RaporTarihi,INDEX(tblOrtak[Tarih],ROW($A200)-ROW(tblOrtak[[#Headers],[Tarih]])+1))-$A200,RaporTarihi-$A200))</f>
        <v/>
      </c>
      <c r="H200" s="18" t="n">
        <f aca="false">IF($F200="",0,ROUND($F200*$G200,0))</f>
        <v>0</v>
      </c>
      <c r="I200" s="18" t="n">
        <f aca="false">IF($H200="",0,ROUND($H200*AdatFaizOran/AdatYilGunSayisi,2))</f>
        <v>0</v>
      </c>
      <c r="J200" s="22"/>
    </row>
    <row r="201" customFormat="false" ht="15" hidden="false" customHeight="false" outlineLevel="0" collapsed="false">
      <c r="A201" s="21"/>
      <c r="B201" s="22"/>
      <c r="C201" s="22"/>
      <c r="D201" s="23"/>
      <c r="E201" s="20" t="str">
        <f aca="false">IF($A201="","",IF($C201="Borç",-$D201,$D201))</f>
        <v/>
      </c>
      <c r="F201" s="18" t="str">
        <f aca="false">IF($A201="","",IFERROR(IF(INDEX(tblOrtak[Ortak Adı],ROW($A201)-ROW(tblOrtak[[#Headers],[Tarih]])-1)=$B201,INDEX(tblOrtak[Bakiye (₺)],ROW($A201)-ROW(tblOrtak[[#Headers],[Tarih]])-1)+$E201,$E201),$E201))</f>
        <v/>
      </c>
      <c r="G201" s="19" t="str">
        <f aca="false">IF($A201="","",IFERROR(IF(INDEX(tblOrtak[Tarih],ROW($A201)-ROW(tblOrtak[[#Headers],[Tarih]])+1)=0,RaporTarihi,INDEX(tblOrtak[Tarih],ROW($A201)-ROW(tblOrtak[[#Headers],[Tarih]])+1))-$A201,RaporTarihi-$A201))</f>
        <v/>
      </c>
      <c r="H201" s="18" t="n">
        <f aca="false">IF($F201="",0,ROUND($F201*$G201,0))</f>
        <v>0</v>
      </c>
      <c r="I201" s="18" t="n">
        <f aca="false">IF($H201="",0,ROUND($H201*AdatFaizOran/AdatYilGunSayisi,2))</f>
        <v>0</v>
      </c>
      <c r="J201" s="22"/>
    </row>
    <row r="202" customFormat="false" ht="15" hidden="false" customHeight="false" outlineLevel="0" collapsed="false">
      <c r="A202" s="21"/>
      <c r="B202" s="22"/>
      <c r="C202" s="22"/>
      <c r="D202" s="23"/>
      <c r="E202" s="20" t="str">
        <f aca="false">IF($A202="","",IF($C202="Borç",-$D202,$D202))</f>
        <v/>
      </c>
      <c r="F202" s="18" t="str">
        <f aca="false">IF($A202="","",IFERROR(IF(INDEX(tblOrtak[Ortak Adı],ROW($A202)-ROW(tblOrtak[[#Headers],[Tarih]])-1)=$B202,INDEX(tblOrtak[Bakiye (₺)],ROW($A202)-ROW(tblOrtak[[#Headers],[Tarih]])-1)+$E202,$E202),$E202))</f>
        <v/>
      </c>
      <c r="G202" s="19" t="str">
        <f aca="false">IF($A202="","",IFERROR(IF(INDEX(tblOrtak[Tarih],ROW($A202)-ROW(tblOrtak[[#Headers],[Tarih]])+1)=0,RaporTarihi,INDEX(tblOrtak[Tarih],ROW($A202)-ROW(tblOrtak[[#Headers],[Tarih]])+1))-$A202,RaporTarihi-$A202))</f>
        <v/>
      </c>
      <c r="H202" s="18" t="n">
        <f aca="false">IF($F202="",0,ROUND($F202*$G202,0))</f>
        <v>0</v>
      </c>
      <c r="I202" s="18" t="n">
        <f aca="false">IF($H202="",0,ROUND($H202*AdatFaizOran/AdatYilGunSayisi,2))</f>
        <v>0</v>
      </c>
      <c r="J202" s="22"/>
    </row>
    <row r="203" customFormat="false" ht="15" hidden="false" customHeight="false" outlineLevel="0" collapsed="false">
      <c r="A203" s="21"/>
      <c r="B203" s="22"/>
      <c r="C203" s="22"/>
      <c r="D203" s="23"/>
      <c r="E203" s="20" t="str">
        <f aca="false">IF($A203="","",IF($C203="Borç",-$D203,$D203))</f>
        <v/>
      </c>
      <c r="F203" s="18" t="str">
        <f aca="false">IF($A203="","",IFERROR(IF(INDEX(tblOrtak[Ortak Adı],ROW($A203)-ROW(tblOrtak[[#Headers],[Tarih]])-1)=$B203,INDEX(tblOrtak[Bakiye (₺)],ROW($A203)-ROW(tblOrtak[[#Headers],[Tarih]])-1)+$E203,$E203),$E203))</f>
        <v/>
      </c>
      <c r="G203" s="19" t="str">
        <f aca="false">IF($A203="","",IFERROR(IF(INDEX(tblOrtak[Tarih],ROW($A203)-ROW(tblOrtak[[#Headers],[Tarih]])+1)=0,RaporTarihi,INDEX(tblOrtak[Tarih],ROW($A203)-ROW(tblOrtak[[#Headers],[Tarih]])+1))-$A203,RaporTarihi-$A203))</f>
        <v/>
      </c>
      <c r="H203" s="18" t="n">
        <f aca="false">IF($F203="",0,ROUND($F203*$G203,0))</f>
        <v>0</v>
      </c>
      <c r="I203" s="18" t="n">
        <f aca="false">IF($H203="",0,ROUND($H203*AdatFaizOran/AdatYilGunSayisi,2))</f>
        <v>0</v>
      </c>
      <c r="J203" s="22"/>
    </row>
    <row r="204" customFormat="false" ht="15" hidden="false" customHeight="false" outlineLevel="0" collapsed="false">
      <c r="A204" s="21"/>
      <c r="B204" s="22"/>
      <c r="C204" s="22"/>
      <c r="D204" s="23"/>
      <c r="E204" s="20" t="str">
        <f aca="false">IF($A204="","",IF($C204="Borç",-$D204,$D204))</f>
        <v/>
      </c>
      <c r="F204" s="18" t="str">
        <f aca="false">IF($A204="","",IFERROR(IF(INDEX(tblOrtak[Ortak Adı],ROW($A204)-ROW(tblOrtak[[#Headers],[Tarih]])-1)=$B204,INDEX(tblOrtak[Bakiye (₺)],ROW($A204)-ROW(tblOrtak[[#Headers],[Tarih]])-1)+$E204,$E204),$E204))</f>
        <v/>
      </c>
      <c r="G204" s="19" t="str">
        <f aca="false">IF($A204="","",IFERROR(IF(INDEX(tblOrtak[Tarih],ROW($A204)-ROW(tblOrtak[[#Headers],[Tarih]])+1)=0,RaporTarihi,INDEX(tblOrtak[Tarih],ROW($A204)-ROW(tblOrtak[[#Headers],[Tarih]])+1))-$A204,RaporTarihi-$A204))</f>
        <v/>
      </c>
      <c r="H204" s="18" t="n">
        <f aca="false">IF($F204="",0,ROUND($F204*$G204,0))</f>
        <v>0</v>
      </c>
      <c r="I204" s="18" t="n">
        <f aca="false">IF($H204="",0,ROUND($H204*AdatFaizOran/AdatYilGunSayisi,2))</f>
        <v>0</v>
      </c>
      <c r="J204" s="22"/>
    </row>
    <row r="205" customFormat="false" ht="15" hidden="false" customHeight="false" outlineLevel="0" collapsed="false">
      <c r="A205" s="21"/>
      <c r="B205" s="22"/>
      <c r="C205" s="22"/>
      <c r="D205" s="23"/>
      <c r="E205" s="20" t="str">
        <f aca="false">IF($A205="","",IF($C205="Borç",-$D205,$D205))</f>
        <v/>
      </c>
      <c r="F205" s="18" t="str">
        <f aca="false">IF($A205="","",IFERROR(IF(INDEX(tblOrtak[Ortak Adı],ROW($A205)-ROW(tblOrtak[[#Headers],[Tarih]])-1)=$B205,INDEX(tblOrtak[Bakiye (₺)],ROW($A205)-ROW(tblOrtak[[#Headers],[Tarih]])-1)+$E205,$E205),$E205))</f>
        <v/>
      </c>
      <c r="G205" s="19" t="str">
        <f aca="false">IF($A205="","",IFERROR(IF(INDEX(tblOrtak[Tarih],ROW($A205)-ROW(tblOrtak[[#Headers],[Tarih]])+1)=0,RaporTarihi,INDEX(tblOrtak[Tarih],ROW($A205)-ROW(tblOrtak[[#Headers],[Tarih]])+1))-$A205,RaporTarihi-$A205))</f>
        <v/>
      </c>
      <c r="H205" s="18" t="n">
        <f aca="false">IF($F205="",0,ROUND($F205*$G205,0))</f>
        <v>0</v>
      </c>
      <c r="I205" s="18" t="n">
        <f aca="false">IF($H205="",0,ROUND($H205*AdatFaizOran/AdatYilGunSayisi,2))</f>
        <v>0</v>
      </c>
      <c r="J205" s="22"/>
    </row>
    <row r="206" customFormat="false" ht="15" hidden="false" customHeight="false" outlineLevel="0" collapsed="false">
      <c r="A206" s="21"/>
      <c r="B206" s="22"/>
      <c r="C206" s="22"/>
      <c r="D206" s="23"/>
      <c r="E206" s="20" t="str">
        <f aca="false">IF($A206="","",IF($C206="Borç",-$D206,$D206))</f>
        <v/>
      </c>
      <c r="F206" s="18" t="str">
        <f aca="false">IF($A206="","",IFERROR(IF(INDEX(tblOrtak[Ortak Adı],ROW($A206)-ROW(tblOrtak[[#Headers],[Tarih]])-1)=$B206,INDEX(tblOrtak[Bakiye (₺)],ROW($A206)-ROW(tblOrtak[[#Headers],[Tarih]])-1)+$E206,$E206),$E206))</f>
        <v/>
      </c>
      <c r="G206" s="19" t="str">
        <f aca="false">IF($A206="","",IFERROR(IF(INDEX(tblOrtak[Tarih],ROW($A206)-ROW(tblOrtak[[#Headers],[Tarih]])+1)=0,RaporTarihi,INDEX(tblOrtak[Tarih],ROW($A206)-ROW(tblOrtak[[#Headers],[Tarih]])+1))-$A206,RaporTarihi-$A206))</f>
        <v/>
      </c>
      <c r="H206" s="18" t="n">
        <f aca="false">IF($F206="",0,ROUND($F206*$G206,0))</f>
        <v>0</v>
      </c>
      <c r="I206" s="18" t="n">
        <f aca="false">IF($H206="",0,ROUND($H206*AdatFaizOran/AdatYilGunSayisi,2))</f>
        <v>0</v>
      </c>
      <c r="J206" s="22"/>
    </row>
    <row r="207" customFormat="false" ht="15" hidden="false" customHeight="false" outlineLevel="0" collapsed="false">
      <c r="A207" s="21"/>
      <c r="B207" s="22"/>
      <c r="C207" s="22"/>
      <c r="D207" s="23"/>
      <c r="E207" s="20" t="str">
        <f aca="false">IF($A207="","",IF($C207="Borç",-$D207,$D207))</f>
        <v/>
      </c>
      <c r="F207" s="18" t="str">
        <f aca="false">IF($A207="","",IFERROR(IF(INDEX(tblOrtak[Ortak Adı],ROW($A207)-ROW(tblOrtak[[#Headers],[Tarih]])-1)=$B207,INDEX(tblOrtak[Bakiye (₺)],ROW($A207)-ROW(tblOrtak[[#Headers],[Tarih]])-1)+$E207,$E207),$E207))</f>
        <v/>
      </c>
      <c r="G207" s="19" t="str">
        <f aca="false">IF($A207="","",IFERROR(IF(INDEX(tblOrtak[Tarih],ROW($A207)-ROW(tblOrtak[[#Headers],[Tarih]])+1)=0,RaporTarihi,INDEX(tblOrtak[Tarih],ROW($A207)-ROW(tblOrtak[[#Headers],[Tarih]])+1))-$A207,RaporTarihi-$A207))</f>
        <v/>
      </c>
      <c r="H207" s="18" t="n">
        <f aca="false">IF($F207="",0,ROUND($F207*$G207,0))</f>
        <v>0</v>
      </c>
      <c r="I207" s="18" t="n">
        <f aca="false">IF($H207="",0,ROUND($H207*AdatFaizOran/AdatYilGunSayisi,2))</f>
        <v>0</v>
      </c>
      <c r="J207" s="22"/>
    </row>
    <row r="208" customFormat="false" ht="15" hidden="false" customHeight="false" outlineLevel="0" collapsed="false">
      <c r="A208" s="21"/>
      <c r="B208" s="22"/>
      <c r="C208" s="22"/>
      <c r="D208" s="23"/>
      <c r="E208" s="20" t="str">
        <f aca="false">IF($A208="","",IF($C208="Borç",-$D208,$D208))</f>
        <v/>
      </c>
      <c r="F208" s="18" t="str">
        <f aca="false">IF($A208="","",IFERROR(IF(INDEX(tblOrtak[Ortak Adı],ROW($A208)-ROW(tblOrtak[[#Headers],[Tarih]])-1)=$B208,INDEX(tblOrtak[Bakiye (₺)],ROW($A208)-ROW(tblOrtak[[#Headers],[Tarih]])-1)+$E208,$E208),$E208))</f>
        <v/>
      </c>
      <c r="G208" s="19" t="str">
        <f aca="false">IF($A208="","",IFERROR(IF(INDEX(tblOrtak[Tarih],ROW($A208)-ROW(tblOrtak[[#Headers],[Tarih]])+1)=0,RaporTarihi,INDEX(tblOrtak[Tarih],ROW($A208)-ROW(tblOrtak[[#Headers],[Tarih]])+1))-$A208,RaporTarihi-$A208))</f>
        <v/>
      </c>
      <c r="H208" s="18" t="n">
        <f aca="false">IF($F208="",0,ROUND($F208*$G208,0))</f>
        <v>0</v>
      </c>
      <c r="I208" s="18" t="n">
        <f aca="false">IF($H208="",0,ROUND($H208*AdatFaizOran/AdatYilGunSayisi,2))</f>
        <v>0</v>
      </c>
      <c r="J208" s="22"/>
    </row>
    <row r="209" customFormat="false" ht="15" hidden="false" customHeight="false" outlineLevel="0" collapsed="false">
      <c r="A209" s="21"/>
      <c r="B209" s="22"/>
      <c r="C209" s="22"/>
      <c r="D209" s="23"/>
      <c r="E209" s="20" t="str">
        <f aca="false">IF($A209="","",IF($C209="Borç",-$D209,$D209))</f>
        <v/>
      </c>
      <c r="F209" s="18" t="str">
        <f aca="false">IF($A209="","",IFERROR(IF(INDEX(tblOrtak[Ortak Adı],ROW($A209)-ROW(tblOrtak[[#Headers],[Tarih]])-1)=$B209,INDEX(tblOrtak[Bakiye (₺)],ROW($A209)-ROW(tblOrtak[[#Headers],[Tarih]])-1)+$E209,$E209),$E209))</f>
        <v/>
      </c>
      <c r="G209" s="19" t="str">
        <f aca="false">IF($A209="","",IFERROR(IF(INDEX(tblOrtak[Tarih],ROW($A209)-ROW(tblOrtak[[#Headers],[Tarih]])+1)=0,RaporTarihi,INDEX(tblOrtak[Tarih],ROW($A209)-ROW(tblOrtak[[#Headers],[Tarih]])+1))-$A209,RaporTarihi-$A209))</f>
        <v/>
      </c>
      <c r="H209" s="18" t="n">
        <f aca="false">IF($F209="",0,ROUND($F209*$G209,0))</f>
        <v>0</v>
      </c>
      <c r="I209" s="18" t="n">
        <f aca="false">IF($H209="",0,ROUND($H209*AdatFaizOran/AdatYilGunSayisi,2))</f>
        <v>0</v>
      </c>
      <c r="J209" s="22"/>
    </row>
    <row r="210" customFormat="false" ht="15" hidden="false" customHeight="false" outlineLevel="0" collapsed="false">
      <c r="A210" s="21"/>
      <c r="B210" s="22"/>
      <c r="C210" s="22"/>
      <c r="D210" s="23"/>
      <c r="E210" s="20" t="str">
        <f aca="false">IF($A210="","",IF($C210="Borç",-$D210,$D210))</f>
        <v/>
      </c>
      <c r="F210" s="18" t="str">
        <f aca="false">IF($A210="","",IFERROR(IF(INDEX(tblOrtak[Ortak Adı],ROW($A210)-ROW(tblOrtak[[#Headers],[Tarih]])-1)=$B210,INDEX(tblOrtak[Bakiye (₺)],ROW($A210)-ROW(tblOrtak[[#Headers],[Tarih]])-1)+$E210,$E210),$E210))</f>
        <v/>
      </c>
      <c r="G210" s="19" t="str">
        <f aca="false">IF($A210="","",IFERROR(IF(INDEX(tblOrtak[Tarih],ROW($A210)-ROW(tblOrtak[[#Headers],[Tarih]])+1)=0,RaporTarihi,INDEX(tblOrtak[Tarih],ROW($A210)-ROW(tblOrtak[[#Headers],[Tarih]])+1))-$A210,RaporTarihi-$A210))</f>
        <v/>
      </c>
      <c r="H210" s="18" t="n">
        <f aca="false">IF($F210="",0,ROUND($F210*$G210,0))</f>
        <v>0</v>
      </c>
      <c r="I210" s="18" t="n">
        <f aca="false">IF($H210="",0,ROUND($H210*AdatFaizOran/AdatYilGunSayisi,2))</f>
        <v>0</v>
      </c>
      <c r="J210" s="22"/>
    </row>
    <row r="211" customFormat="false" ht="15" hidden="false" customHeight="false" outlineLevel="0" collapsed="false">
      <c r="A211" s="21"/>
      <c r="B211" s="22"/>
      <c r="C211" s="22"/>
      <c r="D211" s="23"/>
      <c r="E211" s="20" t="str">
        <f aca="false">IF($A211="","",IF($C211="Borç",-$D211,$D211))</f>
        <v/>
      </c>
      <c r="F211" s="18" t="str">
        <f aca="false">IF($A211="","",IFERROR(IF(INDEX(tblOrtak[Ortak Adı],ROW($A211)-ROW(tblOrtak[[#Headers],[Tarih]])-1)=$B211,INDEX(tblOrtak[Bakiye (₺)],ROW($A211)-ROW(tblOrtak[[#Headers],[Tarih]])-1)+$E211,$E211),$E211))</f>
        <v/>
      </c>
      <c r="G211" s="19" t="str">
        <f aca="false">IF($A211="","",IFERROR(IF(INDEX(tblOrtak[Tarih],ROW($A211)-ROW(tblOrtak[[#Headers],[Tarih]])+1)=0,RaporTarihi,INDEX(tblOrtak[Tarih],ROW($A211)-ROW(tblOrtak[[#Headers],[Tarih]])+1))-$A211,RaporTarihi-$A211))</f>
        <v/>
      </c>
      <c r="H211" s="18" t="n">
        <f aca="false">IF($F211="",0,ROUND($F211*$G211,0))</f>
        <v>0</v>
      </c>
      <c r="I211" s="18" t="n">
        <f aca="false">IF($H211="",0,ROUND($H211*AdatFaizOran/AdatYilGunSayisi,2))</f>
        <v>0</v>
      </c>
      <c r="J211" s="22"/>
    </row>
    <row r="212" customFormat="false" ht="15" hidden="false" customHeight="false" outlineLevel="0" collapsed="false">
      <c r="A212" s="21"/>
      <c r="B212" s="22"/>
      <c r="C212" s="22"/>
      <c r="D212" s="23"/>
      <c r="E212" s="20" t="str">
        <f aca="false">IF($A212="","",IF($C212="Borç",-$D212,$D212))</f>
        <v/>
      </c>
      <c r="F212" s="18" t="str">
        <f aca="false">IF($A212="","",IFERROR(IF(INDEX(tblOrtak[Ortak Adı],ROW($A212)-ROW(tblOrtak[[#Headers],[Tarih]])-1)=$B212,INDEX(tblOrtak[Bakiye (₺)],ROW($A212)-ROW(tblOrtak[[#Headers],[Tarih]])-1)+$E212,$E212),$E212))</f>
        <v/>
      </c>
      <c r="G212" s="19" t="str">
        <f aca="false">IF($A212="","",IFERROR(IF(INDEX(tblOrtak[Tarih],ROW($A212)-ROW(tblOrtak[[#Headers],[Tarih]])+1)=0,RaporTarihi,INDEX(tblOrtak[Tarih],ROW($A212)-ROW(tblOrtak[[#Headers],[Tarih]])+1))-$A212,RaporTarihi-$A212))</f>
        <v/>
      </c>
      <c r="H212" s="18" t="n">
        <f aca="false">IF($F212="",0,ROUND($F212*$G212,0))</f>
        <v>0</v>
      </c>
      <c r="I212" s="18" t="n">
        <f aca="false">IF($H212="",0,ROUND($H212*AdatFaizOran/AdatYilGunSayisi,2))</f>
        <v>0</v>
      </c>
      <c r="J212" s="22"/>
    </row>
    <row r="213" customFormat="false" ht="15" hidden="false" customHeight="false" outlineLevel="0" collapsed="false">
      <c r="A213" s="21"/>
      <c r="B213" s="22"/>
      <c r="C213" s="22"/>
      <c r="D213" s="23"/>
      <c r="E213" s="20" t="str">
        <f aca="false">IF($A213="","",IF($C213="Borç",-$D213,$D213))</f>
        <v/>
      </c>
      <c r="F213" s="18" t="str">
        <f aca="false">IF($A213="","",IFERROR(IF(INDEX(tblOrtak[Ortak Adı],ROW($A213)-ROW(tblOrtak[[#Headers],[Tarih]])-1)=$B213,INDEX(tblOrtak[Bakiye (₺)],ROW($A213)-ROW(tblOrtak[[#Headers],[Tarih]])-1)+$E213,$E213),$E213))</f>
        <v/>
      </c>
      <c r="G213" s="19" t="str">
        <f aca="false">IF($A213="","",IFERROR(IF(INDEX(tblOrtak[Tarih],ROW($A213)-ROW(tblOrtak[[#Headers],[Tarih]])+1)=0,RaporTarihi,INDEX(tblOrtak[Tarih],ROW($A213)-ROW(tblOrtak[[#Headers],[Tarih]])+1))-$A213,RaporTarihi-$A213))</f>
        <v/>
      </c>
      <c r="H213" s="18" t="n">
        <f aca="false">IF($F213="",0,ROUND($F213*$G213,0))</f>
        <v>0</v>
      </c>
      <c r="I213" s="18" t="n">
        <f aca="false">IF($H213="",0,ROUND($H213*AdatFaizOran/AdatYilGunSayisi,2))</f>
        <v>0</v>
      </c>
      <c r="J213" s="22"/>
    </row>
    <row r="214" customFormat="false" ht="15" hidden="false" customHeight="false" outlineLevel="0" collapsed="false">
      <c r="A214" s="21"/>
      <c r="B214" s="22"/>
      <c r="C214" s="22"/>
      <c r="D214" s="23"/>
      <c r="E214" s="20" t="str">
        <f aca="false">IF($A214="","",IF($C214="Borç",-$D214,$D214))</f>
        <v/>
      </c>
      <c r="F214" s="18" t="str">
        <f aca="false">IF($A214="","",IFERROR(IF(INDEX(tblOrtak[Ortak Adı],ROW($A214)-ROW(tblOrtak[[#Headers],[Tarih]])-1)=$B214,INDEX(tblOrtak[Bakiye (₺)],ROW($A214)-ROW(tblOrtak[[#Headers],[Tarih]])-1)+$E214,$E214),$E214))</f>
        <v/>
      </c>
      <c r="G214" s="19" t="str">
        <f aca="false">IF($A214="","",IFERROR(IF(INDEX(tblOrtak[Tarih],ROW($A214)-ROW(tblOrtak[[#Headers],[Tarih]])+1)=0,RaporTarihi,INDEX(tblOrtak[Tarih],ROW($A214)-ROW(tblOrtak[[#Headers],[Tarih]])+1))-$A214,RaporTarihi-$A214))</f>
        <v/>
      </c>
      <c r="H214" s="18" t="n">
        <f aca="false">IF($F214="",0,ROUND($F214*$G214,0))</f>
        <v>0</v>
      </c>
      <c r="I214" s="18" t="n">
        <f aca="false">IF($H214="",0,ROUND($H214*AdatFaizOran/AdatYilGunSayisi,2))</f>
        <v>0</v>
      </c>
      <c r="J214" s="22"/>
    </row>
    <row r="215" customFormat="false" ht="15" hidden="false" customHeight="false" outlineLevel="0" collapsed="false">
      <c r="A215" s="21"/>
      <c r="B215" s="22"/>
      <c r="C215" s="22"/>
      <c r="D215" s="23"/>
      <c r="E215" s="20" t="str">
        <f aca="false">IF($A215="","",IF($C215="Borç",-$D215,$D215))</f>
        <v/>
      </c>
      <c r="F215" s="18" t="str">
        <f aca="false">IF($A215="","",IFERROR(IF(INDEX(tblOrtak[Ortak Adı],ROW($A215)-ROW(tblOrtak[[#Headers],[Tarih]])-1)=$B215,INDEX(tblOrtak[Bakiye (₺)],ROW($A215)-ROW(tblOrtak[[#Headers],[Tarih]])-1)+$E215,$E215),$E215))</f>
        <v/>
      </c>
      <c r="G215" s="19" t="str">
        <f aca="false">IF($A215="","",IFERROR(IF(INDEX(tblOrtak[Tarih],ROW($A215)-ROW(tblOrtak[[#Headers],[Tarih]])+1)=0,RaporTarihi,INDEX(tblOrtak[Tarih],ROW($A215)-ROW(tblOrtak[[#Headers],[Tarih]])+1))-$A215,RaporTarihi-$A215))</f>
        <v/>
      </c>
      <c r="H215" s="18" t="n">
        <f aca="false">IF($F215="",0,ROUND($F215*$G215,0))</f>
        <v>0</v>
      </c>
      <c r="I215" s="18" t="n">
        <f aca="false">IF($H215="",0,ROUND($H215*AdatFaizOran/AdatYilGunSayisi,2))</f>
        <v>0</v>
      </c>
      <c r="J215" s="22"/>
    </row>
    <row r="216" customFormat="false" ht="15" hidden="false" customHeight="false" outlineLevel="0" collapsed="false">
      <c r="A216" s="21"/>
      <c r="B216" s="22"/>
      <c r="C216" s="22"/>
      <c r="D216" s="23"/>
      <c r="E216" s="20" t="str">
        <f aca="false">IF($A216="","",IF($C216="Borç",-$D216,$D216))</f>
        <v/>
      </c>
      <c r="F216" s="18" t="str">
        <f aca="false">IF($A216="","",IFERROR(IF(INDEX(tblOrtak[Ortak Adı],ROW($A216)-ROW(tblOrtak[[#Headers],[Tarih]])-1)=$B216,INDEX(tblOrtak[Bakiye (₺)],ROW($A216)-ROW(tblOrtak[[#Headers],[Tarih]])-1)+$E216,$E216),$E216))</f>
        <v/>
      </c>
      <c r="G216" s="19" t="str">
        <f aca="false">IF($A216="","",IFERROR(IF(INDEX(tblOrtak[Tarih],ROW($A216)-ROW(tblOrtak[[#Headers],[Tarih]])+1)=0,RaporTarihi,INDEX(tblOrtak[Tarih],ROW($A216)-ROW(tblOrtak[[#Headers],[Tarih]])+1))-$A216,RaporTarihi-$A216))</f>
        <v/>
      </c>
      <c r="H216" s="18" t="n">
        <f aca="false">IF($F216="",0,ROUND($F216*$G216,0))</f>
        <v>0</v>
      </c>
      <c r="I216" s="18" t="n">
        <f aca="false">IF($H216="",0,ROUND($H216*AdatFaizOran/AdatYilGunSayisi,2))</f>
        <v>0</v>
      </c>
      <c r="J216" s="22"/>
    </row>
    <row r="217" customFormat="false" ht="15" hidden="false" customHeight="false" outlineLevel="0" collapsed="false">
      <c r="A217" s="21"/>
      <c r="B217" s="22"/>
      <c r="C217" s="22"/>
      <c r="D217" s="23"/>
      <c r="E217" s="20" t="str">
        <f aca="false">IF($A217="","",IF($C217="Borç",-$D217,$D217))</f>
        <v/>
      </c>
      <c r="F217" s="18" t="str">
        <f aca="false">IF($A217="","",IFERROR(IF(INDEX(tblOrtak[Ortak Adı],ROW($A217)-ROW(tblOrtak[[#Headers],[Tarih]])-1)=$B217,INDEX(tblOrtak[Bakiye (₺)],ROW($A217)-ROW(tblOrtak[[#Headers],[Tarih]])-1)+$E217,$E217),$E217))</f>
        <v/>
      </c>
      <c r="G217" s="19" t="str">
        <f aca="false">IF($A217="","",IFERROR(IF(INDEX(tblOrtak[Tarih],ROW($A217)-ROW(tblOrtak[[#Headers],[Tarih]])+1)=0,RaporTarihi,INDEX(tblOrtak[Tarih],ROW($A217)-ROW(tblOrtak[[#Headers],[Tarih]])+1))-$A217,RaporTarihi-$A217))</f>
        <v/>
      </c>
      <c r="H217" s="18" t="n">
        <f aca="false">IF($F217="",0,ROUND($F217*$G217,0))</f>
        <v>0</v>
      </c>
      <c r="I217" s="18" t="n">
        <f aca="false">IF($H217="",0,ROUND($H217*AdatFaizOran/AdatYilGunSayisi,2))</f>
        <v>0</v>
      </c>
      <c r="J217" s="22"/>
    </row>
    <row r="218" customFormat="false" ht="15" hidden="false" customHeight="false" outlineLevel="0" collapsed="false">
      <c r="A218" s="21"/>
      <c r="B218" s="22"/>
      <c r="C218" s="22"/>
      <c r="D218" s="23"/>
      <c r="E218" s="20" t="str">
        <f aca="false">IF($A218="","",IF($C218="Borç",-$D218,$D218))</f>
        <v/>
      </c>
      <c r="F218" s="18" t="str">
        <f aca="false">IF($A218="","",IFERROR(IF(INDEX(tblOrtak[Ortak Adı],ROW($A218)-ROW(tblOrtak[[#Headers],[Tarih]])-1)=$B218,INDEX(tblOrtak[Bakiye (₺)],ROW($A218)-ROW(tblOrtak[[#Headers],[Tarih]])-1)+$E218,$E218),$E218))</f>
        <v/>
      </c>
      <c r="G218" s="19" t="str">
        <f aca="false">IF($A218="","",IFERROR(IF(INDEX(tblOrtak[Tarih],ROW($A218)-ROW(tblOrtak[[#Headers],[Tarih]])+1)=0,RaporTarihi,INDEX(tblOrtak[Tarih],ROW($A218)-ROW(tblOrtak[[#Headers],[Tarih]])+1))-$A218,RaporTarihi-$A218))</f>
        <v/>
      </c>
      <c r="H218" s="18" t="n">
        <f aca="false">IF($F218="",0,ROUND($F218*$G218,0))</f>
        <v>0</v>
      </c>
      <c r="I218" s="18" t="n">
        <f aca="false">IF($H218="",0,ROUND($H218*AdatFaizOran/AdatYilGunSayisi,2))</f>
        <v>0</v>
      </c>
      <c r="J218" s="22"/>
    </row>
    <row r="219" customFormat="false" ht="15" hidden="false" customHeight="false" outlineLevel="0" collapsed="false">
      <c r="A219" s="21"/>
      <c r="B219" s="22"/>
      <c r="C219" s="22"/>
      <c r="D219" s="23"/>
      <c r="E219" s="20" t="str">
        <f aca="false">IF($A219="","",IF($C219="Borç",-$D219,$D219))</f>
        <v/>
      </c>
      <c r="F219" s="18" t="str">
        <f aca="false">IF($A219="","",IFERROR(IF(INDEX(tblOrtak[Ortak Adı],ROW($A219)-ROW(tblOrtak[[#Headers],[Tarih]])-1)=$B219,INDEX(tblOrtak[Bakiye (₺)],ROW($A219)-ROW(tblOrtak[[#Headers],[Tarih]])-1)+$E219,$E219),$E219))</f>
        <v/>
      </c>
      <c r="G219" s="19" t="str">
        <f aca="false">IF($A219="","",IFERROR(IF(INDEX(tblOrtak[Tarih],ROW($A219)-ROW(tblOrtak[[#Headers],[Tarih]])+1)=0,RaporTarihi,INDEX(tblOrtak[Tarih],ROW($A219)-ROW(tblOrtak[[#Headers],[Tarih]])+1))-$A219,RaporTarihi-$A219))</f>
        <v/>
      </c>
      <c r="H219" s="18" t="n">
        <f aca="false">IF($F219="",0,ROUND($F219*$G219,0))</f>
        <v>0</v>
      </c>
      <c r="I219" s="18" t="n">
        <f aca="false">IF($H219="",0,ROUND($H219*AdatFaizOran/AdatYilGunSayisi,2))</f>
        <v>0</v>
      </c>
      <c r="J219" s="22"/>
    </row>
    <row r="220" customFormat="false" ht="15" hidden="false" customHeight="false" outlineLevel="0" collapsed="false">
      <c r="A220" s="21"/>
      <c r="B220" s="22"/>
      <c r="C220" s="22"/>
      <c r="D220" s="23"/>
      <c r="E220" s="20" t="str">
        <f aca="false">IF($A220="","",IF($C220="Borç",-$D220,$D220))</f>
        <v/>
      </c>
      <c r="F220" s="18" t="str">
        <f aca="false">IF($A220="","",IFERROR(IF(INDEX(tblOrtak[Ortak Adı],ROW($A220)-ROW(tblOrtak[[#Headers],[Tarih]])-1)=$B220,INDEX(tblOrtak[Bakiye (₺)],ROW($A220)-ROW(tblOrtak[[#Headers],[Tarih]])-1)+$E220,$E220),$E220))</f>
        <v/>
      </c>
      <c r="G220" s="19" t="str">
        <f aca="false">IF($A220="","",IFERROR(IF(INDEX(tblOrtak[Tarih],ROW($A220)-ROW(tblOrtak[[#Headers],[Tarih]])+1)=0,RaporTarihi,INDEX(tblOrtak[Tarih],ROW($A220)-ROW(tblOrtak[[#Headers],[Tarih]])+1))-$A220,RaporTarihi-$A220))</f>
        <v/>
      </c>
      <c r="H220" s="18" t="n">
        <f aca="false">IF($F220="",0,ROUND($F220*$G220,0))</f>
        <v>0</v>
      </c>
      <c r="I220" s="18" t="n">
        <f aca="false">IF($H220="",0,ROUND($H220*AdatFaizOran/AdatYilGunSayisi,2))</f>
        <v>0</v>
      </c>
      <c r="J220" s="22"/>
    </row>
    <row r="221" customFormat="false" ht="15" hidden="false" customHeight="false" outlineLevel="0" collapsed="false">
      <c r="A221" s="21"/>
      <c r="B221" s="22"/>
      <c r="C221" s="22"/>
      <c r="D221" s="23"/>
      <c r="E221" s="20" t="str">
        <f aca="false">IF($A221="","",IF($C221="Borç",-$D221,$D221))</f>
        <v/>
      </c>
      <c r="F221" s="18" t="str">
        <f aca="false">IF($A221="","",IFERROR(IF(INDEX(tblOrtak[Ortak Adı],ROW($A221)-ROW(tblOrtak[[#Headers],[Tarih]])-1)=$B221,INDEX(tblOrtak[Bakiye (₺)],ROW($A221)-ROW(tblOrtak[[#Headers],[Tarih]])-1)+$E221,$E221),$E221))</f>
        <v/>
      </c>
      <c r="G221" s="19" t="str">
        <f aca="false">IF($A221="","",IFERROR(IF(INDEX(tblOrtak[Tarih],ROW($A221)-ROW(tblOrtak[[#Headers],[Tarih]])+1)=0,RaporTarihi,INDEX(tblOrtak[Tarih],ROW($A221)-ROW(tblOrtak[[#Headers],[Tarih]])+1))-$A221,RaporTarihi-$A221))</f>
        <v/>
      </c>
      <c r="H221" s="18" t="n">
        <f aca="false">IF($F221="",0,ROUND($F221*$G221,0))</f>
        <v>0</v>
      </c>
      <c r="I221" s="18" t="n">
        <f aca="false">IF($H221="",0,ROUND($H221*AdatFaizOran/AdatYilGunSayisi,2))</f>
        <v>0</v>
      </c>
      <c r="J221" s="22"/>
    </row>
    <row r="222" customFormat="false" ht="15" hidden="false" customHeight="false" outlineLevel="0" collapsed="false">
      <c r="A222" s="21"/>
      <c r="B222" s="22"/>
      <c r="C222" s="22"/>
      <c r="D222" s="23"/>
      <c r="E222" s="20" t="str">
        <f aca="false">IF($A222="","",IF($C222="Borç",-$D222,$D222))</f>
        <v/>
      </c>
      <c r="F222" s="18" t="str">
        <f aca="false">IF($A222="","",IFERROR(IF(INDEX(tblOrtak[Ortak Adı],ROW($A222)-ROW(tblOrtak[[#Headers],[Tarih]])-1)=$B222,INDEX(tblOrtak[Bakiye (₺)],ROW($A222)-ROW(tblOrtak[[#Headers],[Tarih]])-1)+$E222,$E222),$E222))</f>
        <v/>
      </c>
      <c r="G222" s="19" t="str">
        <f aca="false">IF($A222="","",IFERROR(IF(INDEX(tblOrtak[Tarih],ROW($A222)-ROW(tblOrtak[[#Headers],[Tarih]])+1)=0,RaporTarihi,INDEX(tblOrtak[Tarih],ROW($A222)-ROW(tblOrtak[[#Headers],[Tarih]])+1))-$A222,RaporTarihi-$A222))</f>
        <v/>
      </c>
      <c r="H222" s="18" t="n">
        <f aca="false">IF($F222="",0,ROUND($F222*$G222,0))</f>
        <v>0</v>
      </c>
      <c r="I222" s="18" t="n">
        <f aca="false">IF($H222="",0,ROUND($H222*AdatFaizOran/AdatYilGunSayisi,2))</f>
        <v>0</v>
      </c>
      <c r="J222" s="22"/>
    </row>
    <row r="223" customFormat="false" ht="15" hidden="false" customHeight="false" outlineLevel="0" collapsed="false">
      <c r="A223" s="21"/>
      <c r="B223" s="22"/>
      <c r="C223" s="22"/>
      <c r="D223" s="23"/>
      <c r="E223" s="20" t="str">
        <f aca="false">IF($A223="","",IF($C223="Borç",-$D223,$D223))</f>
        <v/>
      </c>
      <c r="F223" s="18" t="str">
        <f aca="false">IF($A223="","",IFERROR(IF(INDEX(tblOrtak[Ortak Adı],ROW($A223)-ROW(tblOrtak[[#Headers],[Tarih]])-1)=$B223,INDEX(tblOrtak[Bakiye (₺)],ROW($A223)-ROW(tblOrtak[[#Headers],[Tarih]])-1)+$E223,$E223),$E223))</f>
        <v/>
      </c>
      <c r="G223" s="19" t="str">
        <f aca="false">IF($A223="","",IFERROR(IF(INDEX(tblOrtak[Tarih],ROW($A223)-ROW(tblOrtak[[#Headers],[Tarih]])+1)=0,RaporTarihi,INDEX(tblOrtak[Tarih],ROW($A223)-ROW(tblOrtak[[#Headers],[Tarih]])+1))-$A223,RaporTarihi-$A223))</f>
        <v/>
      </c>
      <c r="H223" s="18" t="n">
        <f aca="false">IF($F223="",0,ROUND($F223*$G223,0))</f>
        <v>0</v>
      </c>
      <c r="I223" s="18" t="n">
        <f aca="false">IF($H223="",0,ROUND($H223*AdatFaizOran/AdatYilGunSayisi,2))</f>
        <v>0</v>
      </c>
      <c r="J223" s="22"/>
    </row>
    <row r="224" customFormat="false" ht="15" hidden="false" customHeight="false" outlineLevel="0" collapsed="false">
      <c r="A224" s="21"/>
      <c r="B224" s="22"/>
      <c r="C224" s="22"/>
      <c r="D224" s="23"/>
      <c r="E224" s="20" t="str">
        <f aca="false">IF($A224="","",IF($C224="Borç",-$D224,$D224))</f>
        <v/>
      </c>
      <c r="F224" s="18" t="str">
        <f aca="false">IF($A224="","",IFERROR(IF(INDEX(tblOrtak[Ortak Adı],ROW($A224)-ROW(tblOrtak[[#Headers],[Tarih]])-1)=$B224,INDEX(tblOrtak[Bakiye (₺)],ROW($A224)-ROW(tblOrtak[[#Headers],[Tarih]])-1)+$E224,$E224),$E224))</f>
        <v/>
      </c>
      <c r="G224" s="19" t="str">
        <f aca="false">IF($A224="","",IFERROR(IF(INDEX(tblOrtak[Tarih],ROW($A224)-ROW(tblOrtak[[#Headers],[Tarih]])+1)=0,RaporTarihi,INDEX(tblOrtak[Tarih],ROW($A224)-ROW(tblOrtak[[#Headers],[Tarih]])+1))-$A224,RaporTarihi-$A224))</f>
        <v/>
      </c>
      <c r="H224" s="18" t="n">
        <f aca="false">IF($F224="",0,ROUND($F224*$G224,0))</f>
        <v>0</v>
      </c>
      <c r="I224" s="18" t="n">
        <f aca="false">IF($H224="",0,ROUND($H224*AdatFaizOran/AdatYilGunSayisi,2))</f>
        <v>0</v>
      </c>
      <c r="J224" s="22"/>
    </row>
    <row r="225" customFormat="false" ht="15" hidden="false" customHeight="false" outlineLevel="0" collapsed="false">
      <c r="A225" s="21"/>
      <c r="B225" s="22"/>
      <c r="C225" s="22"/>
      <c r="D225" s="23"/>
      <c r="E225" s="20" t="str">
        <f aca="false">IF($A225="","",IF($C225="Borç",-$D225,$D225))</f>
        <v/>
      </c>
      <c r="F225" s="18" t="str">
        <f aca="false">IF($A225="","",IFERROR(IF(INDEX(tblOrtak[Ortak Adı],ROW($A225)-ROW(tblOrtak[[#Headers],[Tarih]])-1)=$B225,INDEX(tblOrtak[Bakiye (₺)],ROW($A225)-ROW(tblOrtak[[#Headers],[Tarih]])-1)+$E225,$E225),$E225))</f>
        <v/>
      </c>
      <c r="G225" s="19" t="str">
        <f aca="false">IF($A225="","",IFERROR(IF(INDEX(tblOrtak[Tarih],ROW($A225)-ROW(tblOrtak[[#Headers],[Tarih]])+1)=0,RaporTarihi,INDEX(tblOrtak[Tarih],ROW($A225)-ROW(tblOrtak[[#Headers],[Tarih]])+1))-$A225,RaporTarihi-$A225))</f>
        <v/>
      </c>
      <c r="H225" s="18" t="n">
        <f aca="false">IF($F225="",0,ROUND($F225*$G225,0))</f>
        <v>0</v>
      </c>
      <c r="I225" s="18" t="n">
        <f aca="false">IF($H225="",0,ROUND($H225*AdatFaizOran/AdatYilGunSayisi,2))</f>
        <v>0</v>
      </c>
      <c r="J225" s="22"/>
    </row>
    <row r="226" customFormat="false" ht="15" hidden="false" customHeight="false" outlineLevel="0" collapsed="false">
      <c r="A226" s="21"/>
      <c r="B226" s="22"/>
      <c r="C226" s="22"/>
      <c r="D226" s="23"/>
      <c r="E226" s="20" t="str">
        <f aca="false">IF($A226="","",IF($C226="Borç",-$D226,$D226))</f>
        <v/>
      </c>
      <c r="F226" s="18" t="str">
        <f aca="false">IF($A226="","",IFERROR(IF(INDEX(tblOrtak[Ortak Adı],ROW($A226)-ROW(tblOrtak[[#Headers],[Tarih]])-1)=$B226,INDEX(tblOrtak[Bakiye (₺)],ROW($A226)-ROW(tblOrtak[[#Headers],[Tarih]])-1)+$E226,$E226),$E226))</f>
        <v/>
      </c>
      <c r="G226" s="19" t="str">
        <f aca="false">IF($A226="","",IFERROR(IF(INDEX(tblOrtak[Tarih],ROW($A226)-ROW(tblOrtak[[#Headers],[Tarih]])+1)=0,RaporTarihi,INDEX(tblOrtak[Tarih],ROW($A226)-ROW(tblOrtak[[#Headers],[Tarih]])+1))-$A226,RaporTarihi-$A226))</f>
        <v/>
      </c>
      <c r="H226" s="18" t="n">
        <f aca="false">IF($F226="",0,ROUND($F226*$G226,0))</f>
        <v>0</v>
      </c>
      <c r="I226" s="18" t="n">
        <f aca="false">IF($H226="",0,ROUND($H226*AdatFaizOran/AdatYilGunSayisi,2))</f>
        <v>0</v>
      </c>
      <c r="J226" s="22"/>
    </row>
    <row r="227" customFormat="false" ht="15" hidden="false" customHeight="false" outlineLevel="0" collapsed="false">
      <c r="A227" s="21"/>
      <c r="B227" s="22"/>
      <c r="C227" s="22"/>
      <c r="D227" s="23"/>
      <c r="E227" s="20" t="str">
        <f aca="false">IF($A227="","",IF($C227="Borç",-$D227,$D227))</f>
        <v/>
      </c>
      <c r="F227" s="18" t="str">
        <f aca="false">IF($A227="","",IFERROR(IF(INDEX(tblOrtak[Ortak Adı],ROW($A227)-ROW(tblOrtak[[#Headers],[Tarih]])-1)=$B227,INDEX(tblOrtak[Bakiye (₺)],ROW($A227)-ROW(tblOrtak[[#Headers],[Tarih]])-1)+$E227,$E227),$E227))</f>
        <v/>
      </c>
      <c r="G227" s="19" t="str">
        <f aca="false">IF($A227="","",IFERROR(IF(INDEX(tblOrtak[Tarih],ROW($A227)-ROW(tblOrtak[[#Headers],[Tarih]])+1)=0,RaporTarihi,INDEX(tblOrtak[Tarih],ROW($A227)-ROW(tblOrtak[[#Headers],[Tarih]])+1))-$A227,RaporTarihi-$A227))</f>
        <v/>
      </c>
      <c r="H227" s="18" t="n">
        <f aca="false">IF($F227="",0,ROUND($F227*$G227,0))</f>
        <v>0</v>
      </c>
      <c r="I227" s="18" t="n">
        <f aca="false">IF($H227="",0,ROUND($H227*AdatFaizOran/AdatYilGunSayisi,2))</f>
        <v>0</v>
      </c>
      <c r="J227" s="22"/>
    </row>
    <row r="228" customFormat="false" ht="15" hidden="false" customHeight="false" outlineLevel="0" collapsed="false">
      <c r="A228" s="21"/>
      <c r="B228" s="22"/>
      <c r="C228" s="22"/>
      <c r="D228" s="23"/>
      <c r="E228" s="20" t="str">
        <f aca="false">IF($A228="","",IF($C228="Borç",-$D228,$D228))</f>
        <v/>
      </c>
      <c r="F228" s="18" t="str">
        <f aca="false">IF($A228="","",IFERROR(IF(INDEX(tblOrtak[Ortak Adı],ROW($A228)-ROW(tblOrtak[[#Headers],[Tarih]])-1)=$B228,INDEX(tblOrtak[Bakiye (₺)],ROW($A228)-ROW(tblOrtak[[#Headers],[Tarih]])-1)+$E228,$E228),$E228))</f>
        <v/>
      </c>
      <c r="G228" s="19" t="str">
        <f aca="false">IF($A228="","",IFERROR(IF(INDEX(tblOrtak[Tarih],ROW($A228)-ROW(tblOrtak[[#Headers],[Tarih]])+1)=0,RaporTarihi,INDEX(tblOrtak[Tarih],ROW($A228)-ROW(tblOrtak[[#Headers],[Tarih]])+1))-$A228,RaporTarihi-$A228))</f>
        <v/>
      </c>
      <c r="H228" s="18" t="n">
        <f aca="false">IF($F228="",0,ROUND($F228*$G228,0))</f>
        <v>0</v>
      </c>
      <c r="I228" s="18" t="n">
        <f aca="false">IF($H228="",0,ROUND($H228*AdatFaizOran/AdatYilGunSayisi,2))</f>
        <v>0</v>
      </c>
      <c r="J228" s="22"/>
    </row>
    <row r="229" customFormat="false" ht="15" hidden="false" customHeight="false" outlineLevel="0" collapsed="false">
      <c r="A229" s="21"/>
      <c r="B229" s="22"/>
      <c r="C229" s="22"/>
      <c r="D229" s="23"/>
      <c r="E229" s="20" t="str">
        <f aca="false">IF($A229="","",IF($C229="Borç",-$D229,$D229))</f>
        <v/>
      </c>
      <c r="F229" s="18" t="str">
        <f aca="false">IF($A229="","",IFERROR(IF(INDEX(tblOrtak[Ortak Adı],ROW($A229)-ROW(tblOrtak[[#Headers],[Tarih]])-1)=$B229,INDEX(tblOrtak[Bakiye (₺)],ROW($A229)-ROW(tblOrtak[[#Headers],[Tarih]])-1)+$E229,$E229),$E229))</f>
        <v/>
      </c>
      <c r="G229" s="19" t="str">
        <f aca="false">IF($A229="","",IFERROR(IF(INDEX(tblOrtak[Tarih],ROW($A229)-ROW(tblOrtak[[#Headers],[Tarih]])+1)=0,RaporTarihi,INDEX(tblOrtak[Tarih],ROW($A229)-ROW(tblOrtak[[#Headers],[Tarih]])+1))-$A229,RaporTarihi-$A229))</f>
        <v/>
      </c>
      <c r="H229" s="18" t="n">
        <f aca="false">IF($F229="",0,ROUND($F229*$G229,0))</f>
        <v>0</v>
      </c>
      <c r="I229" s="18" t="n">
        <f aca="false">IF($H229="",0,ROUND($H229*AdatFaizOran/AdatYilGunSayisi,2))</f>
        <v>0</v>
      </c>
      <c r="J229" s="22"/>
    </row>
    <row r="230" customFormat="false" ht="15" hidden="false" customHeight="false" outlineLevel="0" collapsed="false">
      <c r="A230" s="21"/>
      <c r="B230" s="22"/>
      <c r="C230" s="22"/>
      <c r="D230" s="23"/>
      <c r="E230" s="20" t="str">
        <f aca="false">IF($A230="","",IF($C230="Borç",-$D230,$D230))</f>
        <v/>
      </c>
      <c r="F230" s="18" t="str">
        <f aca="false">IF($A230="","",IFERROR(IF(INDEX(tblOrtak[Ortak Adı],ROW($A230)-ROW(tblOrtak[[#Headers],[Tarih]])-1)=$B230,INDEX(tblOrtak[Bakiye (₺)],ROW($A230)-ROW(tblOrtak[[#Headers],[Tarih]])-1)+$E230,$E230),$E230))</f>
        <v/>
      </c>
      <c r="G230" s="19" t="str">
        <f aca="false">IF($A230="","",IFERROR(IF(INDEX(tblOrtak[Tarih],ROW($A230)-ROW(tblOrtak[[#Headers],[Tarih]])+1)=0,RaporTarihi,INDEX(tblOrtak[Tarih],ROW($A230)-ROW(tblOrtak[[#Headers],[Tarih]])+1))-$A230,RaporTarihi-$A230))</f>
        <v/>
      </c>
      <c r="H230" s="18" t="n">
        <f aca="false">IF($F230="",0,ROUND($F230*$G230,0))</f>
        <v>0</v>
      </c>
      <c r="I230" s="18" t="n">
        <f aca="false">IF($H230="",0,ROUND($H230*AdatFaizOran/AdatYilGunSayisi,2))</f>
        <v>0</v>
      </c>
      <c r="J230" s="22"/>
    </row>
    <row r="231" customFormat="false" ht="15" hidden="false" customHeight="false" outlineLevel="0" collapsed="false">
      <c r="A231" s="21"/>
      <c r="B231" s="22"/>
      <c r="C231" s="22"/>
      <c r="D231" s="23"/>
      <c r="E231" s="20" t="str">
        <f aca="false">IF($A231="","",IF($C231="Borç",-$D231,$D231))</f>
        <v/>
      </c>
      <c r="F231" s="18" t="str">
        <f aca="false">IF($A231="","",IFERROR(IF(INDEX(tblOrtak[Ortak Adı],ROW($A231)-ROW(tblOrtak[[#Headers],[Tarih]])-1)=$B231,INDEX(tblOrtak[Bakiye (₺)],ROW($A231)-ROW(tblOrtak[[#Headers],[Tarih]])-1)+$E231,$E231),$E231))</f>
        <v/>
      </c>
      <c r="G231" s="19" t="str">
        <f aca="false">IF($A231="","",IFERROR(IF(INDEX(tblOrtak[Tarih],ROW($A231)-ROW(tblOrtak[[#Headers],[Tarih]])+1)=0,RaporTarihi,INDEX(tblOrtak[Tarih],ROW($A231)-ROW(tblOrtak[[#Headers],[Tarih]])+1))-$A231,RaporTarihi-$A231))</f>
        <v/>
      </c>
      <c r="H231" s="18" t="n">
        <f aca="false">IF($F231="",0,ROUND($F231*$G231,0))</f>
        <v>0</v>
      </c>
      <c r="I231" s="18" t="n">
        <f aca="false">IF($H231="",0,ROUND($H231*AdatFaizOran/AdatYilGunSayisi,2))</f>
        <v>0</v>
      </c>
      <c r="J231" s="22"/>
    </row>
    <row r="232" customFormat="false" ht="15" hidden="false" customHeight="false" outlineLevel="0" collapsed="false">
      <c r="A232" s="21"/>
      <c r="B232" s="22"/>
      <c r="C232" s="22"/>
      <c r="D232" s="23"/>
      <c r="E232" s="20" t="str">
        <f aca="false">IF($A232="","",IF($C232="Borç",-$D232,$D232))</f>
        <v/>
      </c>
      <c r="F232" s="18" t="str">
        <f aca="false">IF($A232="","",IFERROR(IF(INDEX(tblOrtak[Ortak Adı],ROW($A232)-ROW(tblOrtak[[#Headers],[Tarih]])-1)=$B232,INDEX(tblOrtak[Bakiye (₺)],ROW($A232)-ROW(tblOrtak[[#Headers],[Tarih]])-1)+$E232,$E232),$E232))</f>
        <v/>
      </c>
      <c r="G232" s="19" t="str">
        <f aca="false">IF($A232="","",IFERROR(IF(INDEX(tblOrtak[Tarih],ROW($A232)-ROW(tblOrtak[[#Headers],[Tarih]])+1)=0,RaporTarihi,INDEX(tblOrtak[Tarih],ROW($A232)-ROW(tblOrtak[[#Headers],[Tarih]])+1))-$A232,RaporTarihi-$A232))</f>
        <v/>
      </c>
      <c r="H232" s="18" t="n">
        <f aca="false">IF($F232="",0,ROUND($F232*$G232,0))</f>
        <v>0</v>
      </c>
      <c r="I232" s="18" t="n">
        <f aca="false">IF($H232="",0,ROUND($H232*AdatFaizOran/AdatYilGunSayisi,2))</f>
        <v>0</v>
      </c>
      <c r="J232" s="22"/>
    </row>
    <row r="233" customFormat="false" ht="15" hidden="false" customHeight="false" outlineLevel="0" collapsed="false">
      <c r="A233" s="21"/>
      <c r="B233" s="22"/>
      <c r="C233" s="22"/>
      <c r="D233" s="23"/>
      <c r="E233" s="20" t="str">
        <f aca="false">IF($A233="","",IF($C233="Borç",-$D233,$D233))</f>
        <v/>
      </c>
      <c r="F233" s="18" t="str">
        <f aca="false">IF($A233="","",IFERROR(IF(INDEX(tblOrtak[Ortak Adı],ROW($A233)-ROW(tblOrtak[[#Headers],[Tarih]])-1)=$B233,INDEX(tblOrtak[Bakiye (₺)],ROW($A233)-ROW(tblOrtak[[#Headers],[Tarih]])-1)+$E233,$E233),$E233))</f>
        <v/>
      </c>
      <c r="G233" s="19" t="str">
        <f aca="false">IF($A233="","",IFERROR(IF(INDEX(tblOrtak[Tarih],ROW($A233)-ROW(tblOrtak[[#Headers],[Tarih]])+1)=0,RaporTarihi,INDEX(tblOrtak[Tarih],ROW($A233)-ROW(tblOrtak[[#Headers],[Tarih]])+1))-$A233,RaporTarihi-$A233))</f>
        <v/>
      </c>
      <c r="H233" s="18" t="n">
        <f aca="false">IF($F233="",0,ROUND($F233*$G233,0))</f>
        <v>0</v>
      </c>
      <c r="I233" s="18" t="n">
        <f aca="false">IF($H233="",0,ROUND($H233*AdatFaizOran/AdatYilGunSayisi,2))</f>
        <v>0</v>
      </c>
      <c r="J233" s="22"/>
    </row>
    <row r="234" customFormat="false" ht="15" hidden="false" customHeight="false" outlineLevel="0" collapsed="false">
      <c r="A234" s="21"/>
      <c r="B234" s="22"/>
      <c r="C234" s="22"/>
      <c r="D234" s="23"/>
      <c r="E234" s="20" t="str">
        <f aca="false">IF($A234="","",IF($C234="Borç",-$D234,$D234))</f>
        <v/>
      </c>
      <c r="F234" s="18" t="str">
        <f aca="false">IF($A234="","",IFERROR(IF(INDEX(tblOrtak[Ortak Adı],ROW($A234)-ROW(tblOrtak[[#Headers],[Tarih]])-1)=$B234,INDEX(tblOrtak[Bakiye (₺)],ROW($A234)-ROW(tblOrtak[[#Headers],[Tarih]])-1)+$E234,$E234),$E234))</f>
        <v/>
      </c>
      <c r="G234" s="19" t="str">
        <f aca="false">IF($A234="","",IFERROR(IF(INDEX(tblOrtak[Tarih],ROW($A234)-ROW(tblOrtak[[#Headers],[Tarih]])+1)=0,RaporTarihi,INDEX(tblOrtak[Tarih],ROW($A234)-ROW(tblOrtak[[#Headers],[Tarih]])+1))-$A234,RaporTarihi-$A234))</f>
        <v/>
      </c>
      <c r="H234" s="18" t="n">
        <f aca="false">IF($F234="",0,ROUND($F234*$G234,0))</f>
        <v>0</v>
      </c>
      <c r="I234" s="18" t="n">
        <f aca="false">IF($H234="",0,ROUND($H234*AdatFaizOran/AdatYilGunSayisi,2))</f>
        <v>0</v>
      </c>
      <c r="J234" s="22"/>
    </row>
    <row r="235" customFormat="false" ht="15" hidden="false" customHeight="false" outlineLevel="0" collapsed="false">
      <c r="A235" s="21"/>
      <c r="B235" s="22"/>
      <c r="C235" s="22"/>
      <c r="D235" s="23"/>
      <c r="E235" s="20" t="str">
        <f aca="false">IF($A235="","",IF($C235="Borç",-$D235,$D235))</f>
        <v/>
      </c>
      <c r="F235" s="18" t="str">
        <f aca="false">IF($A235="","",IFERROR(IF(INDEX(tblOrtak[Ortak Adı],ROW($A235)-ROW(tblOrtak[[#Headers],[Tarih]])-1)=$B235,INDEX(tblOrtak[Bakiye (₺)],ROW($A235)-ROW(tblOrtak[[#Headers],[Tarih]])-1)+$E235,$E235),$E235))</f>
        <v/>
      </c>
      <c r="G235" s="19" t="str">
        <f aca="false">IF($A235="","",IFERROR(IF(INDEX(tblOrtak[Tarih],ROW($A235)-ROW(tblOrtak[[#Headers],[Tarih]])+1)=0,RaporTarihi,INDEX(tblOrtak[Tarih],ROW($A235)-ROW(tblOrtak[[#Headers],[Tarih]])+1))-$A235,RaporTarihi-$A235))</f>
        <v/>
      </c>
      <c r="H235" s="18" t="n">
        <f aca="false">IF($F235="",0,ROUND($F235*$G235,0))</f>
        <v>0</v>
      </c>
      <c r="I235" s="18" t="n">
        <f aca="false">IF($H235="",0,ROUND($H235*AdatFaizOran/AdatYilGunSayisi,2))</f>
        <v>0</v>
      </c>
      <c r="J235" s="22"/>
    </row>
    <row r="236" customFormat="false" ht="15" hidden="false" customHeight="false" outlineLevel="0" collapsed="false">
      <c r="A236" s="21"/>
      <c r="B236" s="22"/>
      <c r="C236" s="22"/>
      <c r="D236" s="23"/>
      <c r="E236" s="20" t="str">
        <f aca="false">IF($A236="","",IF($C236="Borç",-$D236,$D236))</f>
        <v/>
      </c>
      <c r="F236" s="18" t="str">
        <f aca="false">IF($A236="","",IFERROR(IF(INDEX(tblOrtak[Ortak Adı],ROW($A236)-ROW(tblOrtak[[#Headers],[Tarih]])-1)=$B236,INDEX(tblOrtak[Bakiye (₺)],ROW($A236)-ROW(tblOrtak[[#Headers],[Tarih]])-1)+$E236,$E236),$E236))</f>
        <v/>
      </c>
      <c r="G236" s="19" t="str">
        <f aca="false">IF($A236="","",IFERROR(IF(INDEX(tblOrtak[Tarih],ROW($A236)-ROW(tblOrtak[[#Headers],[Tarih]])+1)=0,RaporTarihi,INDEX(tblOrtak[Tarih],ROW($A236)-ROW(tblOrtak[[#Headers],[Tarih]])+1))-$A236,RaporTarihi-$A236))</f>
        <v/>
      </c>
      <c r="H236" s="18" t="n">
        <f aca="false">IF($F236="",0,ROUND($F236*$G236,0))</f>
        <v>0</v>
      </c>
      <c r="I236" s="18" t="n">
        <f aca="false">IF($H236="",0,ROUND($H236*AdatFaizOran/AdatYilGunSayisi,2))</f>
        <v>0</v>
      </c>
      <c r="J236" s="22"/>
    </row>
    <row r="237" customFormat="false" ht="15" hidden="false" customHeight="false" outlineLevel="0" collapsed="false">
      <c r="A237" s="21"/>
      <c r="B237" s="22"/>
      <c r="C237" s="22"/>
      <c r="D237" s="23"/>
      <c r="E237" s="20" t="str">
        <f aca="false">IF($A237="","",IF($C237="Borç",-$D237,$D237))</f>
        <v/>
      </c>
      <c r="F237" s="18" t="str">
        <f aca="false">IF($A237="","",IFERROR(IF(INDEX(tblOrtak[Ortak Adı],ROW($A237)-ROW(tblOrtak[[#Headers],[Tarih]])-1)=$B237,INDEX(tblOrtak[Bakiye (₺)],ROW($A237)-ROW(tblOrtak[[#Headers],[Tarih]])-1)+$E237,$E237),$E237))</f>
        <v/>
      </c>
      <c r="G237" s="19" t="str">
        <f aca="false">IF($A237="","",IFERROR(IF(INDEX(tblOrtak[Tarih],ROW($A237)-ROW(tblOrtak[[#Headers],[Tarih]])+1)=0,RaporTarihi,INDEX(tblOrtak[Tarih],ROW($A237)-ROW(tblOrtak[[#Headers],[Tarih]])+1))-$A237,RaporTarihi-$A237))</f>
        <v/>
      </c>
      <c r="H237" s="18" t="n">
        <f aca="false">IF($F237="",0,ROUND($F237*$G237,0))</f>
        <v>0</v>
      </c>
      <c r="I237" s="18" t="n">
        <f aca="false">IF($H237="",0,ROUND($H237*AdatFaizOran/AdatYilGunSayisi,2))</f>
        <v>0</v>
      </c>
      <c r="J237" s="22"/>
    </row>
    <row r="238" customFormat="false" ht="15" hidden="false" customHeight="false" outlineLevel="0" collapsed="false">
      <c r="A238" s="21"/>
      <c r="B238" s="22"/>
      <c r="C238" s="22"/>
      <c r="D238" s="23"/>
      <c r="E238" s="20" t="str">
        <f aca="false">IF($A238="","",IF($C238="Borç",-$D238,$D238))</f>
        <v/>
      </c>
      <c r="F238" s="18" t="str">
        <f aca="false">IF($A238="","",IFERROR(IF(INDEX(tblOrtak[Ortak Adı],ROW($A238)-ROW(tblOrtak[[#Headers],[Tarih]])-1)=$B238,INDEX(tblOrtak[Bakiye (₺)],ROW($A238)-ROW(tblOrtak[[#Headers],[Tarih]])-1)+$E238,$E238),$E238))</f>
        <v/>
      </c>
      <c r="G238" s="19" t="str">
        <f aca="false">IF($A238="","",IFERROR(IF(INDEX(tblOrtak[Tarih],ROW($A238)-ROW(tblOrtak[[#Headers],[Tarih]])+1)=0,RaporTarihi,INDEX(tblOrtak[Tarih],ROW($A238)-ROW(tblOrtak[[#Headers],[Tarih]])+1))-$A238,RaporTarihi-$A238))</f>
        <v/>
      </c>
      <c r="H238" s="18" t="n">
        <f aca="false">IF($F238="",0,ROUND($F238*$G238,0))</f>
        <v>0</v>
      </c>
      <c r="I238" s="18" t="n">
        <f aca="false">IF($H238="",0,ROUND($H238*AdatFaizOran/AdatYilGunSayisi,2))</f>
        <v>0</v>
      </c>
      <c r="J238" s="22"/>
    </row>
    <row r="239" customFormat="false" ht="15" hidden="false" customHeight="false" outlineLevel="0" collapsed="false">
      <c r="A239" s="21"/>
      <c r="B239" s="22"/>
      <c r="C239" s="22"/>
      <c r="D239" s="23"/>
      <c r="E239" s="20" t="str">
        <f aca="false">IF($A239="","",IF($C239="Borç",-$D239,$D239))</f>
        <v/>
      </c>
      <c r="F239" s="18" t="str">
        <f aca="false">IF($A239="","",IFERROR(IF(INDEX(tblOrtak[Ortak Adı],ROW($A239)-ROW(tblOrtak[[#Headers],[Tarih]])-1)=$B239,INDEX(tblOrtak[Bakiye (₺)],ROW($A239)-ROW(tblOrtak[[#Headers],[Tarih]])-1)+$E239,$E239),$E239))</f>
        <v/>
      </c>
      <c r="G239" s="19" t="str">
        <f aca="false">IF($A239="","",IFERROR(IF(INDEX(tblOrtak[Tarih],ROW($A239)-ROW(tblOrtak[[#Headers],[Tarih]])+1)=0,RaporTarihi,INDEX(tblOrtak[Tarih],ROW($A239)-ROW(tblOrtak[[#Headers],[Tarih]])+1))-$A239,RaporTarihi-$A239))</f>
        <v/>
      </c>
      <c r="H239" s="18" t="n">
        <f aca="false">IF($F239="",0,ROUND($F239*$G239,0))</f>
        <v>0</v>
      </c>
      <c r="I239" s="18" t="n">
        <f aca="false">IF($H239="",0,ROUND($H239*AdatFaizOran/AdatYilGunSayisi,2))</f>
        <v>0</v>
      </c>
      <c r="J239" s="22"/>
    </row>
    <row r="240" customFormat="false" ht="15" hidden="false" customHeight="false" outlineLevel="0" collapsed="false">
      <c r="A240" s="21"/>
      <c r="B240" s="22"/>
      <c r="C240" s="22"/>
      <c r="D240" s="23"/>
      <c r="E240" s="20" t="str">
        <f aca="false">IF($A240="","",IF($C240="Borç",-$D240,$D240))</f>
        <v/>
      </c>
      <c r="F240" s="18" t="str">
        <f aca="false">IF($A240="","",IFERROR(IF(INDEX(tblOrtak[Ortak Adı],ROW($A240)-ROW(tblOrtak[[#Headers],[Tarih]])-1)=$B240,INDEX(tblOrtak[Bakiye (₺)],ROW($A240)-ROW(tblOrtak[[#Headers],[Tarih]])-1)+$E240,$E240),$E240))</f>
        <v/>
      </c>
      <c r="G240" s="19" t="str">
        <f aca="false">IF($A240="","",IFERROR(IF(INDEX(tblOrtak[Tarih],ROW($A240)-ROW(tblOrtak[[#Headers],[Tarih]])+1)=0,RaporTarihi,INDEX(tblOrtak[Tarih],ROW($A240)-ROW(tblOrtak[[#Headers],[Tarih]])+1))-$A240,RaporTarihi-$A240))</f>
        <v/>
      </c>
      <c r="H240" s="18" t="n">
        <f aca="false">IF($F240="",0,ROUND($F240*$G240,0))</f>
        <v>0</v>
      </c>
      <c r="I240" s="18" t="n">
        <f aca="false">IF($H240="",0,ROUND($H240*AdatFaizOran/AdatYilGunSayisi,2))</f>
        <v>0</v>
      </c>
      <c r="J240" s="22"/>
    </row>
    <row r="241" customFormat="false" ht="15" hidden="false" customHeight="false" outlineLevel="0" collapsed="false">
      <c r="A241" s="21"/>
      <c r="B241" s="22"/>
      <c r="C241" s="22"/>
      <c r="D241" s="23"/>
      <c r="E241" s="20" t="str">
        <f aca="false">IF($A241="","",IF($C241="Borç",-$D241,$D241))</f>
        <v/>
      </c>
      <c r="F241" s="18" t="str">
        <f aca="false">IF($A241="","",IFERROR(IF(INDEX(tblOrtak[Ortak Adı],ROW($A241)-ROW(tblOrtak[[#Headers],[Tarih]])-1)=$B241,INDEX(tblOrtak[Bakiye (₺)],ROW($A241)-ROW(tblOrtak[[#Headers],[Tarih]])-1)+$E241,$E241),$E241))</f>
        <v/>
      </c>
      <c r="G241" s="19" t="str">
        <f aca="false">IF($A241="","",IFERROR(IF(INDEX(tblOrtak[Tarih],ROW($A241)-ROW(tblOrtak[[#Headers],[Tarih]])+1)=0,RaporTarihi,INDEX(tblOrtak[Tarih],ROW($A241)-ROW(tblOrtak[[#Headers],[Tarih]])+1))-$A241,RaporTarihi-$A241))</f>
        <v/>
      </c>
      <c r="H241" s="18" t="n">
        <f aca="false">IF($F241="",0,ROUND($F241*$G241,0))</f>
        <v>0</v>
      </c>
      <c r="I241" s="18" t="n">
        <f aca="false">IF($H241="",0,ROUND($H241*AdatFaizOran/AdatYilGunSayisi,2))</f>
        <v>0</v>
      </c>
      <c r="J241" s="22"/>
    </row>
    <row r="242" customFormat="false" ht="15" hidden="false" customHeight="false" outlineLevel="0" collapsed="false">
      <c r="A242" s="21"/>
      <c r="B242" s="22"/>
      <c r="C242" s="22"/>
      <c r="D242" s="23"/>
      <c r="E242" s="20" t="str">
        <f aca="false">IF($A242="","",IF($C242="Borç",-$D242,$D242))</f>
        <v/>
      </c>
      <c r="F242" s="18" t="str">
        <f aca="false">IF($A242="","",IFERROR(IF(INDEX(tblOrtak[Ortak Adı],ROW($A242)-ROW(tblOrtak[[#Headers],[Tarih]])-1)=$B242,INDEX(tblOrtak[Bakiye (₺)],ROW($A242)-ROW(tblOrtak[[#Headers],[Tarih]])-1)+$E242,$E242),$E242))</f>
        <v/>
      </c>
      <c r="G242" s="19" t="str">
        <f aca="false">IF($A242="","",IFERROR(IF(INDEX(tblOrtak[Tarih],ROW($A242)-ROW(tblOrtak[[#Headers],[Tarih]])+1)=0,RaporTarihi,INDEX(tblOrtak[Tarih],ROW($A242)-ROW(tblOrtak[[#Headers],[Tarih]])+1))-$A242,RaporTarihi-$A242))</f>
        <v/>
      </c>
      <c r="H242" s="18" t="n">
        <f aca="false">IF($F242="",0,ROUND($F242*$G242,0))</f>
        <v>0</v>
      </c>
      <c r="I242" s="18" t="n">
        <f aca="false">IF($H242="",0,ROUND($H242*AdatFaizOran/AdatYilGunSayisi,2))</f>
        <v>0</v>
      </c>
      <c r="J242" s="22"/>
    </row>
    <row r="243" customFormat="false" ht="15" hidden="false" customHeight="false" outlineLevel="0" collapsed="false">
      <c r="A243" s="21"/>
      <c r="B243" s="22"/>
      <c r="C243" s="22"/>
      <c r="D243" s="23"/>
      <c r="E243" s="20" t="str">
        <f aca="false">IF($A243="","",IF($C243="Borç",-$D243,$D243))</f>
        <v/>
      </c>
      <c r="F243" s="18" t="str">
        <f aca="false">IF($A243="","",IFERROR(IF(INDEX(tblOrtak[Ortak Adı],ROW($A243)-ROW(tblOrtak[[#Headers],[Tarih]])-1)=$B243,INDEX(tblOrtak[Bakiye (₺)],ROW($A243)-ROW(tblOrtak[[#Headers],[Tarih]])-1)+$E243,$E243),$E243))</f>
        <v/>
      </c>
      <c r="G243" s="19" t="str">
        <f aca="false">IF($A243="","",IFERROR(IF(INDEX(tblOrtak[Tarih],ROW($A243)-ROW(tblOrtak[[#Headers],[Tarih]])+1)=0,RaporTarihi,INDEX(tblOrtak[Tarih],ROW($A243)-ROW(tblOrtak[[#Headers],[Tarih]])+1))-$A243,RaporTarihi-$A243))</f>
        <v/>
      </c>
      <c r="H243" s="18" t="n">
        <f aca="false">IF($F243="",0,ROUND($F243*$G243,0))</f>
        <v>0</v>
      </c>
      <c r="I243" s="18" t="n">
        <f aca="false">IF($H243="",0,ROUND($H243*AdatFaizOran/AdatYilGunSayisi,2))</f>
        <v>0</v>
      </c>
      <c r="J243" s="22"/>
    </row>
    <row r="244" customFormat="false" ht="15" hidden="false" customHeight="false" outlineLevel="0" collapsed="false">
      <c r="A244" s="21"/>
      <c r="B244" s="22"/>
      <c r="C244" s="22"/>
      <c r="D244" s="23"/>
      <c r="E244" s="20" t="str">
        <f aca="false">IF($A244="","",IF($C244="Borç",-$D244,$D244))</f>
        <v/>
      </c>
      <c r="F244" s="18" t="str">
        <f aca="false">IF($A244="","",IFERROR(IF(INDEX(tblOrtak[Ortak Adı],ROW($A244)-ROW(tblOrtak[[#Headers],[Tarih]])-1)=$B244,INDEX(tblOrtak[Bakiye (₺)],ROW($A244)-ROW(tblOrtak[[#Headers],[Tarih]])-1)+$E244,$E244),$E244))</f>
        <v/>
      </c>
      <c r="G244" s="19" t="str">
        <f aca="false">IF($A244="","",IFERROR(IF(INDEX(tblOrtak[Tarih],ROW($A244)-ROW(tblOrtak[[#Headers],[Tarih]])+1)=0,RaporTarihi,INDEX(tblOrtak[Tarih],ROW($A244)-ROW(tblOrtak[[#Headers],[Tarih]])+1))-$A244,RaporTarihi-$A244))</f>
        <v/>
      </c>
      <c r="H244" s="18" t="n">
        <f aca="false">IF($F244="",0,ROUND($F244*$G244,0))</f>
        <v>0</v>
      </c>
      <c r="I244" s="18" t="n">
        <f aca="false">IF($H244="",0,ROUND($H244*AdatFaizOran/AdatYilGunSayisi,2))</f>
        <v>0</v>
      </c>
      <c r="J244" s="22"/>
    </row>
    <row r="245" customFormat="false" ht="15" hidden="false" customHeight="false" outlineLevel="0" collapsed="false">
      <c r="A245" s="21"/>
      <c r="B245" s="22"/>
      <c r="C245" s="22"/>
      <c r="D245" s="23"/>
      <c r="E245" s="20" t="str">
        <f aca="false">IF($A245="","",IF($C245="Borç",-$D245,$D245))</f>
        <v/>
      </c>
      <c r="F245" s="18" t="str">
        <f aca="false">IF($A245="","",IFERROR(IF(INDEX(tblOrtak[Ortak Adı],ROW($A245)-ROW(tblOrtak[[#Headers],[Tarih]])-1)=$B245,INDEX(tblOrtak[Bakiye (₺)],ROW($A245)-ROW(tblOrtak[[#Headers],[Tarih]])-1)+$E245,$E245),$E245))</f>
        <v/>
      </c>
      <c r="G245" s="19" t="str">
        <f aca="false">IF($A245="","",IFERROR(IF(INDEX(tblOrtak[Tarih],ROW($A245)-ROW(tblOrtak[[#Headers],[Tarih]])+1)=0,RaporTarihi,INDEX(tblOrtak[Tarih],ROW($A245)-ROW(tblOrtak[[#Headers],[Tarih]])+1))-$A245,RaporTarihi-$A245))</f>
        <v/>
      </c>
      <c r="H245" s="18" t="n">
        <f aca="false">IF($F245="",0,ROUND($F245*$G245,0))</f>
        <v>0</v>
      </c>
      <c r="I245" s="18" t="n">
        <f aca="false">IF($H245="",0,ROUND($H245*AdatFaizOran/AdatYilGunSayisi,2))</f>
        <v>0</v>
      </c>
      <c r="J245" s="22"/>
    </row>
    <row r="246" customFormat="false" ht="15" hidden="false" customHeight="false" outlineLevel="0" collapsed="false">
      <c r="A246" s="21"/>
      <c r="B246" s="22"/>
      <c r="C246" s="22"/>
      <c r="D246" s="23"/>
      <c r="E246" s="20" t="str">
        <f aca="false">IF($A246="","",IF($C246="Borç",-$D246,$D246))</f>
        <v/>
      </c>
      <c r="F246" s="18" t="str">
        <f aca="false">IF($A246="","",IFERROR(IF(INDEX(tblOrtak[Ortak Adı],ROW($A246)-ROW(tblOrtak[[#Headers],[Tarih]])-1)=$B246,INDEX(tblOrtak[Bakiye (₺)],ROW($A246)-ROW(tblOrtak[[#Headers],[Tarih]])-1)+$E246,$E246),$E246))</f>
        <v/>
      </c>
      <c r="G246" s="19" t="str">
        <f aca="false">IF($A246="","",IFERROR(IF(INDEX(tblOrtak[Tarih],ROW($A246)-ROW(tblOrtak[[#Headers],[Tarih]])+1)=0,RaporTarihi,INDEX(tblOrtak[Tarih],ROW($A246)-ROW(tblOrtak[[#Headers],[Tarih]])+1))-$A246,RaporTarihi-$A246))</f>
        <v/>
      </c>
      <c r="H246" s="18" t="n">
        <f aca="false">IF($F246="",0,ROUND($F246*$G246,0))</f>
        <v>0</v>
      </c>
      <c r="I246" s="18" t="n">
        <f aca="false">IF($H246="",0,ROUND($H246*AdatFaizOran/AdatYilGunSayisi,2))</f>
        <v>0</v>
      </c>
      <c r="J246" s="22"/>
    </row>
    <row r="247" customFormat="false" ht="15" hidden="false" customHeight="false" outlineLevel="0" collapsed="false">
      <c r="A247" s="21"/>
      <c r="B247" s="22"/>
      <c r="C247" s="22"/>
      <c r="D247" s="23"/>
      <c r="E247" s="20" t="str">
        <f aca="false">IF($A247="","",IF($C247="Borç",-$D247,$D247))</f>
        <v/>
      </c>
      <c r="F247" s="18" t="str">
        <f aca="false">IF($A247="","",IFERROR(IF(INDEX(tblOrtak[Ortak Adı],ROW($A247)-ROW(tblOrtak[[#Headers],[Tarih]])-1)=$B247,INDEX(tblOrtak[Bakiye (₺)],ROW($A247)-ROW(tblOrtak[[#Headers],[Tarih]])-1)+$E247,$E247),$E247))</f>
        <v/>
      </c>
      <c r="G247" s="19" t="str">
        <f aca="false">IF($A247="","",IFERROR(IF(INDEX(tblOrtak[Tarih],ROW($A247)-ROW(tblOrtak[[#Headers],[Tarih]])+1)=0,RaporTarihi,INDEX(tblOrtak[Tarih],ROW($A247)-ROW(tblOrtak[[#Headers],[Tarih]])+1))-$A247,RaporTarihi-$A247))</f>
        <v/>
      </c>
      <c r="H247" s="18" t="n">
        <f aca="false">IF($F247="",0,ROUND($F247*$G247,0))</f>
        <v>0</v>
      </c>
      <c r="I247" s="18" t="n">
        <f aca="false">IF($H247="",0,ROUND($H247*AdatFaizOran/AdatYilGunSayisi,2))</f>
        <v>0</v>
      </c>
      <c r="J247" s="22"/>
    </row>
    <row r="248" customFormat="false" ht="15" hidden="false" customHeight="false" outlineLevel="0" collapsed="false">
      <c r="A248" s="21"/>
      <c r="B248" s="22"/>
      <c r="C248" s="22"/>
      <c r="D248" s="23"/>
      <c r="E248" s="20" t="str">
        <f aca="false">IF($A248="","",IF($C248="Borç",-$D248,$D248))</f>
        <v/>
      </c>
      <c r="F248" s="18" t="str">
        <f aca="false">IF($A248="","",IFERROR(IF(INDEX(tblOrtak[Ortak Adı],ROW($A248)-ROW(tblOrtak[[#Headers],[Tarih]])-1)=$B248,INDEX(tblOrtak[Bakiye (₺)],ROW($A248)-ROW(tblOrtak[[#Headers],[Tarih]])-1)+$E248,$E248),$E248))</f>
        <v/>
      </c>
      <c r="G248" s="19" t="str">
        <f aca="false">IF($A248="","",IFERROR(IF(INDEX(tblOrtak[Tarih],ROW($A248)-ROW(tblOrtak[[#Headers],[Tarih]])+1)=0,RaporTarihi,INDEX(tblOrtak[Tarih],ROW($A248)-ROW(tblOrtak[[#Headers],[Tarih]])+1))-$A248,RaporTarihi-$A248))</f>
        <v/>
      </c>
      <c r="H248" s="18" t="n">
        <f aca="false">IF($F248="",0,ROUND($F248*$G248,0))</f>
        <v>0</v>
      </c>
      <c r="I248" s="18" t="n">
        <f aca="false">IF($H248="",0,ROUND($H248*AdatFaizOran/AdatYilGunSayisi,2))</f>
        <v>0</v>
      </c>
      <c r="J248" s="22"/>
    </row>
    <row r="249" customFormat="false" ht="15" hidden="false" customHeight="false" outlineLevel="0" collapsed="false">
      <c r="A249" s="21"/>
      <c r="B249" s="22"/>
      <c r="C249" s="22"/>
      <c r="D249" s="23"/>
      <c r="E249" s="20" t="str">
        <f aca="false">IF($A249="","",IF($C249="Borç",-$D249,$D249))</f>
        <v/>
      </c>
      <c r="F249" s="18" t="str">
        <f aca="false">IF($A249="","",IFERROR(IF(INDEX(tblOrtak[Ortak Adı],ROW($A249)-ROW(tblOrtak[[#Headers],[Tarih]])-1)=$B249,INDEX(tblOrtak[Bakiye (₺)],ROW($A249)-ROW(tblOrtak[[#Headers],[Tarih]])-1)+$E249,$E249),$E249))</f>
        <v/>
      </c>
      <c r="G249" s="19" t="str">
        <f aca="false">IF($A249="","",IFERROR(IF(INDEX(tblOrtak[Tarih],ROW($A249)-ROW(tblOrtak[[#Headers],[Tarih]])+1)=0,RaporTarihi,INDEX(tblOrtak[Tarih],ROW($A249)-ROW(tblOrtak[[#Headers],[Tarih]])+1))-$A249,RaporTarihi-$A249))</f>
        <v/>
      </c>
      <c r="H249" s="18" t="n">
        <f aca="false">IF($F249="",0,ROUND($F249*$G249,0))</f>
        <v>0</v>
      </c>
      <c r="I249" s="18" t="n">
        <f aca="false">IF($H249="",0,ROUND($H249*AdatFaizOran/AdatYilGunSayisi,2))</f>
        <v>0</v>
      </c>
      <c r="J249" s="22"/>
    </row>
    <row r="250" customFormat="false" ht="15" hidden="false" customHeight="false" outlineLevel="0" collapsed="false">
      <c r="A250" s="21"/>
      <c r="B250" s="22"/>
      <c r="C250" s="22"/>
      <c r="D250" s="23"/>
      <c r="E250" s="20" t="str">
        <f aca="false">IF($A250="","",IF($C250="Borç",-$D250,$D250))</f>
        <v/>
      </c>
      <c r="F250" s="18" t="str">
        <f aca="false">IF($A250="","",IFERROR(IF(INDEX(tblOrtak[Ortak Adı],ROW($A250)-ROW(tblOrtak[[#Headers],[Tarih]])-1)=$B250,INDEX(tblOrtak[Bakiye (₺)],ROW($A250)-ROW(tblOrtak[[#Headers],[Tarih]])-1)+$E250,$E250),$E250))</f>
        <v/>
      </c>
      <c r="G250" s="19" t="str">
        <f aca="false">IF($A250="","",IFERROR(IF(INDEX(tblOrtak[Tarih],ROW($A250)-ROW(tblOrtak[[#Headers],[Tarih]])+1)=0,RaporTarihi,INDEX(tblOrtak[Tarih],ROW($A250)-ROW(tblOrtak[[#Headers],[Tarih]])+1))-$A250,RaporTarihi-$A250))</f>
        <v/>
      </c>
      <c r="H250" s="18" t="n">
        <f aca="false">IF($F250="",0,ROUND($F250*$G250,0))</f>
        <v>0</v>
      </c>
      <c r="I250" s="18" t="n">
        <f aca="false">IF($H250="",0,ROUND($H250*AdatFaizOran/AdatYilGunSayisi,2))</f>
        <v>0</v>
      </c>
      <c r="J250" s="22"/>
    </row>
    <row r="251" customFormat="false" ht="15" hidden="false" customHeight="false" outlineLevel="0" collapsed="false">
      <c r="A251" s="21"/>
      <c r="B251" s="22"/>
      <c r="C251" s="22"/>
      <c r="D251" s="23"/>
      <c r="E251" s="20" t="str">
        <f aca="false">IF($A251="","",IF($C251="Borç",-$D251,$D251))</f>
        <v/>
      </c>
      <c r="F251" s="18" t="str">
        <f aca="false">IF($A251="","",IFERROR(IF(INDEX(tblOrtak[Ortak Adı],ROW($A251)-ROW(tblOrtak[[#Headers],[Tarih]])-1)=$B251,INDEX(tblOrtak[Bakiye (₺)],ROW($A251)-ROW(tblOrtak[[#Headers],[Tarih]])-1)+$E251,$E251),$E251))</f>
        <v/>
      </c>
      <c r="G251" s="19" t="str">
        <f aca="false">IF($A251="","",IFERROR(IF(INDEX(tblOrtak[Tarih],ROW($A251)-ROW(tblOrtak[[#Headers],[Tarih]])+1)=0,RaporTarihi,INDEX(tblOrtak[Tarih],ROW($A251)-ROW(tblOrtak[[#Headers],[Tarih]])+1))-$A251,RaporTarihi-$A251))</f>
        <v/>
      </c>
      <c r="H251" s="18" t="n">
        <f aca="false">IF($F251="",0,ROUND($F251*$G251,0))</f>
        <v>0</v>
      </c>
      <c r="I251" s="18" t="n">
        <f aca="false">IF($H251="",0,ROUND($H251*AdatFaizOran/AdatYilGunSayisi,2))</f>
        <v>0</v>
      </c>
      <c r="J251" s="22"/>
    </row>
    <row r="252" customFormat="false" ht="15" hidden="false" customHeight="false" outlineLevel="0" collapsed="false">
      <c r="A252" s="21"/>
      <c r="B252" s="22"/>
      <c r="C252" s="22"/>
      <c r="D252" s="23"/>
      <c r="E252" s="20" t="str">
        <f aca="false">IF($A252="","",IF($C252="Borç",-$D252,$D252))</f>
        <v/>
      </c>
      <c r="F252" s="18" t="str">
        <f aca="false">IF($A252="","",IFERROR(IF(INDEX(tblOrtak[Ortak Adı],ROW($A252)-ROW(tblOrtak[[#Headers],[Tarih]])-1)=$B252,INDEX(tblOrtak[Bakiye (₺)],ROW($A252)-ROW(tblOrtak[[#Headers],[Tarih]])-1)+$E252,$E252),$E252))</f>
        <v/>
      </c>
      <c r="G252" s="19" t="str">
        <f aca="false">IF($A252="","",IFERROR(IF(INDEX(tblOrtak[Tarih],ROW($A252)-ROW(tblOrtak[[#Headers],[Tarih]])+1)=0,RaporTarihi,INDEX(tblOrtak[Tarih],ROW($A252)-ROW(tblOrtak[[#Headers],[Tarih]])+1))-$A252,RaporTarihi-$A252))</f>
        <v/>
      </c>
      <c r="H252" s="18" t="n">
        <f aca="false">IF($F252="",0,ROUND($F252*$G252,0))</f>
        <v>0</v>
      </c>
      <c r="I252" s="18" t="n">
        <f aca="false">IF($H252="",0,ROUND($H252*AdatFaizOran/AdatYilGunSayisi,2))</f>
        <v>0</v>
      </c>
      <c r="J252" s="22"/>
    </row>
    <row r="253" customFormat="false" ht="15" hidden="false" customHeight="false" outlineLevel="0" collapsed="false">
      <c r="A253" s="21"/>
      <c r="B253" s="22"/>
      <c r="C253" s="22"/>
      <c r="D253" s="23"/>
      <c r="E253" s="20" t="str">
        <f aca="false">IF($A253="","",IF($C253="Borç",-$D253,$D253))</f>
        <v/>
      </c>
      <c r="F253" s="18" t="str">
        <f aca="false">IF($A253="","",IFERROR(IF(INDEX(tblOrtak[Ortak Adı],ROW($A253)-ROW(tblOrtak[[#Headers],[Tarih]])-1)=$B253,INDEX(tblOrtak[Bakiye (₺)],ROW($A253)-ROW(tblOrtak[[#Headers],[Tarih]])-1)+$E253,$E253),$E253))</f>
        <v/>
      </c>
      <c r="G253" s="19" t="str">
        <f aca="false">IF($A253="","",IFERROR(IF(INDEX(tblOrtak[Tarih],ROW($A253)-ROW(tblOrtak[[#Headers],[Tarih]])+1)=0,RaporTarihi,INDEX(tblOrtak[Tarih],ROW($A253)-ROW(tblOrtak[[#Headers],[Tarih]])+1))-$A253,RaporTarihi-$A253))</f>
        <v/>
      </c>
      <c r="H253" s="18" t="n">
        <f aca="false">IF($F253="",0,ROUND($F253*$G253,0))</f>
        <v>0</v>
      </c>
      <c r="I253" s="18" t="n">
        <f aca="false">IF($H253="",0,ROUND($H253*AdatFaizOran/AdatYilGunSayisi,2))</f>
        <v>0</v>
      </c>
      <c r="J253" s="22"/>
    </row>
    <row r="254" customFormat="false" ht="15" hidden="false" customHeight="false" outlineLevel="0" collapsed="false">
      <c r="A254" s="21"/>
      <c r="B254" s="22"/>
      <c r="C254" s="22"/>
      <c r="D254" s="23"/>
      <c r="E254" s="20" t="str">
        <f aca="false">IF($A254="","",IF($C254="Borç",-$D254,$D254))</f>
        <v/>
      </c>
      <c r="F254" s="18" t="str">
        <f aca="false">IF($A254="","",IFERROR(IF(INDEX(tblOrtak[Ortak Adı],ROW($A254)-ROW(tblOrtak[[#Headers],[Tarih]])-1)=$B254,INDEX(tblOrtak[Bakiye (₺)],ROW($A254)-ROW(tblOrtak[[#Headers],[Tarih]])-1)+$E254,$E254),$E254))</f>
        <v/>
      </c>
      <c r="G254" s="19" t="str">
        <f aca="false">IF($A254="","",IFERROR(IF(INDEX(tblOrtak[Tarih],ROW($A254)-ROW(tblOrtak[[#Headers],[Tarih]])+1)=0,RaporTarihi,INDEX(tblOrtak[Tarih],ROW($A254)-ROW(tblOrtak[[#Headers],[Tarih]])+1))-$A254,RaporTarihi-$A254))</f>
        <v/>
      </c>
      <c r="H254" s="18" t="n">
        <f aca="false">IF($F254="",0,ROUND($F254*$G254,0))</f>
        <v>0</v>
      </c>
      <c r="I254" s="18" t="n">
        <f aca="false">IF($H254="",0,ROUND($H254*AdatFaizOran/AdatYilGunSayisi,2))</f>
        <v>0</v>
      </c>
      <c r="J254" s="22"/>
    </row>
    <row r="255" customFormat="false" ht="15" hidden="false" customHeight="false" outlineLevel="0" collapsed="false">
      <c r="A255" s="21"/>
      <c r="B255" s="22"/>
      <c r="C255" s="22"/>
      <c r="D255" s="23"/>
      <c r="E255" s="20" t="str">
        <f aca="false">IF($A255="","",IF($C255="Borç",-$D255,$D255))</f>
        <v/>
      </c>
      <c r="F255" s="18" t="str">
        <f aca="false">IF($A255="","",IFERROR(IF(INDEX(tblOrtak[Ortak Adı],ROW($A255)-ROW(tblOrtak[[#Headers],[Tarih]])-1)=$B255,INDEX(tblOrtak[Bakiye (₺)],ROW($A255)-ROW(tblOrtak[[#Headers],[Tarih]])-1)+$E255,$E255),$E255))</f>
        <v/>
      </c>
      <c r="G255" s="19" t="str">
        <f aca="false">IF($A255="","",IFERROR(IF(INDEX(tblOrtak[Tarih],ROW($A255)-ROW(tblOrtak[[#Headers],[Tarih]])+1)=0,RaporTarihi,INDEX(tblOrtak[Tarih],ROW($A255)-ROW(tblOrtak[[#Headers],[Tarih]])+1))-$A255,RaporTarihi-$A255))</f>
        <v/>
      </c>
      <c r="H255" s="18" t="n">
        <f aca="false">IF($F255="",0,ROUND($F255*$G255,0))</f>
        <v>0</v>
      </c>
      <c r="I255" s="18" t="n">
        <f aca="false">IF($H255="",0,ROUND($H255*AdatFaizOran/AdatYilGunSayisi,2))</f>
        <v>0</v>
      </c>
      <c r="J255" s="22"/>
    </row>
    <row r="256" customFormat="false" ht="15" hidden="false" customHeight="false" outlineLevel="0" collapsed="false">
      <c r="A256" s="21"/>
      <c r="B256" s="22"/>
      <c r="C256" s="22"/>
      <c r="D256" s="23"/>
      <c r="E256" s="20" t="str">
        <f aca="false">IF($A256="","",IF($C256="Borç",-$D256,$D256))</f>
        <v/>
      </c>
      <c r="F256" s="18" t="str">
        <f aca="false">IF($A256="","",IFERROR(IF(INDEX(tblOrtak[Ortak Adı],ROW($A256)-ROW(tblOrtak[[#Headers],[Tarih]])-1)=$B256,INDEX(tblOrtak[Bakiye (₺)],ROW($A256)-ROW(tblOrtak[[#Headers],[Tarih]])-1)+$E256,$E256),$E256))</f>
        <v/>
      </c>
      <c r="G256" s="19" t="str">
        <f aca="false">IF($A256="","",IFERROR(IF(INDEX(tblOrtak[Tarih],ROW($A256)-ROW(tblOrtak[[#Headers],[Tarih]])+1)=0,RaporTarihi,INDEX(tblOrtak[Tarih],ROW($A256)-ROW(tblOrtak[[#Headers],[Tarih]])+1))-$A256,RaporTarihi-$A256))</f>
        <v/>
      </c>
      <c r="H256" s="18" t="n">
        <f aca="false">IF($F256="",0,ROUND($F256*$G256,0))</f>
        <v>0</v>
      </c>
      <c r="I256" s="18" t="n">
        <f aca="false">IF($H256="",0,ROUND($H256*AdatFaizOran/AdatYilGunSayisi,2))</f>
        <v>0</v>
      </c>
      <c r="J256" s="22"/>
    </row>
    <row r="257" customFormat="false" ht="15" hidden="false" customHeight="false" outlineLevel="0" collapsed="false">
      <c r="A257" s="21"/>
      <c r="B257" s="22"/>
      <c r="C257" s="22"/>
      <c r="D257" s="23"/>
      <c r="E257" s="20" t="str">
        <f aca="false">IF($A257="","",IF($C257="Borç",-$D257,$D257))</f>
        <v/>
      </c>
      <c r="F257" s="18" t="str">
        <f aca="false">IF($A257="","",IFERROR(IF(INDEX(tblOrtak[Ortak Adı],ROW($A257)-ROW(tblOrtak[[#Headers],[Tarih]])-1)=$B257,INDEX(tblOrtak[Bakiye (₺)],ROW($A257)-ROW(tblOrtak[[#Headers],[Tarih]])-1)+$E257,$E257),$E257))</f>
        <v/>
      </c>
      <c r="G257" s="19" t="str">
        <f aca="false">IF($A257="","",IFERROR(IF(INDEX(tblOrtak[Tarih],ROW($A257)-ROW(tblOrtak[[#Headers],[Tarih]])+1)=0,RaporTarihi,INDEX(tblOrtak[Tarih],ROW($A257)-ROW(tblOrtak[[#Headers],[Tarih]])+1))-$A257,RaporTarihi-$A257))</f>
        <v/>
      </c>
      <c r="H257" s="18" t="n">
        <f aca="false">IF($F257="",0,ROUND($F257*$G257,0))</f>
        <v>0</v>
      </c>
      <c r="I257" s="18" t="n">
        <f aca="false">IF($H257="",0,ROUND($H257*AdatFaizOran/AdatYilGunSayisi,2))</f>
        <v>0</v>
      </c>
      <c r="J257" s="22"/>
    </row>
    <row r="258" customFormat="false" ht="15" hidden="false" customHeight="false" outlineLevel="0" collapsed="false">
      <c r="A258" s="21"/>
      <c r="B258" s="22"/>
      <c r="C258" s="22"/>
      <c r="D258" s="23"/>
      <c r="E258" s="20" t="str">
        <f aca="false">IF($A258="","",IF($C258="Borç",-$D258,$D258))</f>
        <v/>
      </c>
      <c r="F258" s="18" t="str">
        <f aca="false">IF($A258="","",IFERROR(IF(INDEX(tblOrtak[Ortak Adı],ROW($A258)-ROW(tblOrtak[[#Headers],[Tarih]])-1)=$B258,INDEX(tblOrtak[Bakiye (₺)],ROW($A258)-ROW(tblOrtak[[#Headers],[Tarih]])-1)+$E258,$E258),$E258))</f>
        <v/>
      </c>
      <c r="G258" s="19" t="str">
        <f aca="false">IF($A258="","",IFERROR(IF(INDEX(tblOrtak[Tarih],ROW($A258)-ROW(tblOrtak[[#Headers],[Tarih]])+1)=0,RaporTarihi,INDEX(tblOrtak[Tarih],ROW($A258)-ROW(tblOrtak[[#Headers],[Tarih]])+1))-$A258,RaporTarihi-$A258))</f>
        <v/>
      </c>
      <c r="H258" s="18" t="n">
        <f aca="false">IF($F258="",0,ROUND($F258*$G258,0))</f>
        <v>0</v>
      </c>
      <c r="I258" s="18" t="n">
        <f aca="false">IF($H258="",0,ROUND($H258*AdatFaizOran/AdatYilGunSayisi,2))</f>
        <v>0</v>
      </c>
      <c r="J258" s="22"/>
    </row>
    <row r="259" customFormat="false" ht="15" hidden="false" customHeight="false" outlineLevel="0" collapsed="false">
      <c r="A259" s="21"/>
      <c r="B259" s="22"/>
      <c r="C259" s="22"/>
      <c r="D259" s="23"/>
      <c r="E259" s="20" t="str">
        <f aca="false">IF($A259="","",IF($C259="Borç",-$D259,$D259))</f>
        <v/>
      </c>
      <c r="F259" s="18" t="str">
        <f aca="false">IF($A259="","",IFERROR(IF(INDEX(tblOrtak[Ortak Adı],ROW($A259)-ROW(tblOrtak[[#Headers],[Tarih]])-1)=$B259,INDEX(tblOrtak[Bakiye (₺)],ROW($A259)-ROW(tblOrtak[[#Headers],[Tarih]])-1)+$E259,$E259),$E259))</f>
        <v/>
      </c>
      <c r="G259" s="19" t="str">
        <f aca="false">IF($A259="","",IFERROR(IF(INDEX(tblOrtak[Tarih],ROW($A259)-ROW(tblOrtak[[#Headers],[Tarih]])+1)=0,RaporTarihi,INDEX(tblOrtak[Tarih],ROW($A259)-ROW(tblOrtak[[#Headers],[Tarih]])+1))-$A259,RaporTarihi-$A259))</f>
        <v/>
      </c>
      <c r="H259" s="18" t="n">
        <f aca="false">IF($F259="",0,ROUND($F259*$G259,0))</f>
        <v>0</v>
      </c>
      <c r="I259" s="18" t="n">
        <f aca="false">IF($H259="",0,ROUND($H259*AdatFaizOran/AdatYilGunSayisi,2))</f>
        <v>0</v>
      </c>
      <c r="J259" s="22"/>
    </row>
    <row r="260" customFormat="false" ht="15" hidden="false" customHeight="false" outlineLevel="0" collapsed="false">
      <c r="A260" s="21"/>
      <c r="B260" s="22"/>
      <c r="C260" s="22"/>
      <c r="D260" s="23"/>
      <c r="E260" s="20" t="str">
        <f aca="false">IF($A260="","",IF($C260="Borç",-$D260,$D260))</f>
        <v/>
      </c>
      <c r="F260" s="18" t="str">
        <f aca="false">IF($A260="","",IFERROR(IF(INDEX(tblOrtak[Ortak Adı],ROW($A260)-ROW(tblOrtak[[#Headers],[Tarih]])-1)=$B260,INDEX(tblOrtak[Bakiye (₺)],ROW($A260)-ROW(tblOrtak[[#Headers],[Tarih]])-1)+$E260,$E260),$E260))</f>
        <v/>
      </c>
      <c r="G260" s="19" t="str">
        <f aca="false">IF($A260="","",IFERROR(IF(INDEX(tblOrtak[Tarih],ROW($A260)-ROW(tblOrtak[[#Headers],[Tarih]])+1)=0,RaporTarihi,INDEX(tblOrtak[Tarih],ROW($A260)-ROW(tblOrtak[[#Headers],[Tarih]])+1))-$A260,RaporTarihi-$A260))</f>
        <v/>
      </c>
      <c r="H260" s="18" t="n">
        <f aca="false">IF($F260="",0,ROUND($F260*$G260,0))</f>
        <v>0</v>
      </c>
      <c r="I260" s="18" t="n">
        <f aca="false">IF($H260="",0,ROUND($H260*AdatFaizOran/AdatYilGunSayisi,2))</f>
        <v>0</v>
      </c>
      <c r="J260" s="22"/>
    </row>
    <row r="261" customFormat="false" ht="15" hidden="false" customHeight="false" outlineLevel="0" collapsed="false">
      <c r="A261" s="21"/>
      <c r="B261" s="22"/>
      <c r="C261" s="22"/>
      <c r="D261" s="23"/>
      <c r="E261" s="20" t="str">
        <f aca="false">IF($A261="","",IF($C261="Borç",-$D261,$D261))</f>
        <v/>
      </c>
      <c r="F261" s="18" t="str">
        <f aca="false">IF($A261="","",IFERROR(IF(INDEX(tblOrtak[Ortak Adı],ROW($A261)-ROW(tblOrtak[[#Headers],[Tarih]])-1)=$B261,INDEX(tblOrtak[Bakiye (₺)],ROW($A261)-ROW(tblOrtak[[#Headers],[Tarih]])-1)+$E261,$E261),$E261))</f>
        <v/>
      </c>
      <c r="G261" s="19" t="str">
        <f aca="false">IF($A261="","",IFERROR(IF(INDEX(tblOrtak[Tarih],ROW($A261)-ROW(tblOrtak[[#Headers],[Tarih]])+1)=0,RaporTarihi,INDEX(tblOrtak[Tarih],ROW($A261)-ROW(tblOrtak[[#Headers],[Tarih]])+1))-$A261,RaporTarihi-$A261))</f>
        <v/>
      </c>
      <c r="H261" s="18" t="n">
        <f aca="false">IF($F261="",0,ROUND($F261*$G261,0))</f>
        <v>0</v>
      </c>
      <c r="I261" s="18" t="n">
        <f aca="false">IF($H261="",0,ROUND($H261*AdatFaizOran/AdatYilGunSayisi,2))</f>
        <v>0</v>
      </c>
      <c r="J261" s="22"/>
    </row>
    <row r="262" customFormat="false" ht="15" hidden="false" customHeight="false" outlineLevel="0" collapsed="false">
      <c r="A262" s="21"/>
      <c r="B262" s="22"/>
      <c r="C262" s="22"/>
      <c r="D262" s="23"/>
      <c r="E262" s="20" t="str">
        <f aca="false">IF($A262="","",IF($C262="Borç",-$D262,$D262))</f>
        <v/>
      </c>
      <c r="F262" s="18" t="str">
        <f aca="false">IF($A262="","",IFERROR(IF(INDEX(tblOrtak[Ortak Adı],ROW($A262)-ROW(tblOrtak[[#Headers],[Tarih]])-1)=$B262,INDEX(tblOrtak[Bakiye (₺)],ROW($A262)-ROW(tblOrtak[[#Headers],[Tarih]])-1)+$E262,$E262),$E262))</f>
        <v/>
      </c>
      <c r="G262" s="19" t="str">
        <f aca="false">IF($A262="","",IFERROR(IF(INDEX(tblOrtak[Tarih],ROW($A262)-ROW(tblOrtak[[#Headers],[Tarih]])+1)=0,RaporTarihi,INDEX(tblOrtak[Tarih],ROW($A262)-ROW(tblOrtak[[#Headers],[Tarih]])+1))-$A262,RaporTarihi-$A262))</f>
        <v/>
      </c>
      <c r="H262" s="18" t="n">
        <f aca="false">IF($F262="",0,ROUND($F262*$G262,0))</f>
        <v>0</v>
      </c>
      <c r="I262" s="18" t="n">
        <f aca="false">IF($H262="",0,ROUND($H262*AdatFaizOran/AdatYilGunSayisi,2))</f>
        <v>0</v>
      </c>
      <c r="J262" s="22"/>
    </row>
    <row r="263" customFormat="false" ht="15" hidden="false" customHeight="false" outlineLevel="0" collapsed="false">
      <c r="A263" s="21"/>
      <c r="B263" s="22"/>
      <c r="C263" s="22"/>
      <c r="D263" s="23"/>
      <c r="E263" s="20" t="str">
        <f aca="false">IF($A263="","",IF($C263="Borç",-$D263,$D263))</f>
        <v/>
      </c>
      <c r="F263" s="18" t="str">
        <f aca="false">IF($A263="","",IFERROR(IF(INDEX(tblOrtak[Ortak Adı],ROW($A263)-ROW(tblOrtak[[#Headers],[Tarih]])-1)=$B263,INDEX(tblOrtak[Bakiye (₺)],ROW($A263)-ROW(tblOrtak[[#Headers],[Tarih]])-1)+$E263,$E263),$E263))</f>
        <v/>
      </c>
      <c r="G263" s="19" t="str">
        <f aca="false">IF($A263="","",IFERROR(IF(INDEX(tblOrtak[Tarih],ROW($A263)-ROW(tblOrtak[[#Headers],[Tarih]])+1)=0,RaporTarihi,INDEX(tblOrtak[Tarih],ROW($A263)-ROW(tblOrtak[[#Headers],[Tarih]])+1))-$A263,RaporTarihi-$A263))</f>
        <v/>
      </c>
      <c r="H263" s="18" t="n">
        <f aca="false">IF($F263="",0,ROUND($F263*$G263,0))</f>
        <v>0</v>
      </c>
      <c r="I263" s="18" t="n">
        <f aca="false">IF($H263="",0,ROUND($H263*AdatFaizOran/AdatYilGunSayisi,2))</f>
        <v>0</v>
      </c>
      <c r="J263" s="22"/>
    </row>
    <row r="264" customFormat="false" ht="15" hidden="false" customHeight="false" outlineLevel="0" collapsed="false">
      <c r="A264" s="21"/>
      <c r="B264" s="22"/>
      <c r="C264" s="22"/>
      <c r="D264" s="23"/>
      <c r="E264" s="20" t="str">
        <f aca="false">IF($A264="","",IF($C264="Borç",-$D264,$D264))</f>
        <v/>
      </c>
      <c r="F264" s="18" t="str">
        <f aca="false">IF($A264="","",IFERROR(IF(INDEX(tblOrtak[Ortak Adı],ROW($A264)-ROW(tblOrtak[[#Headers],[Tarih]])-1)=$B264,INDEX(tblOrtak[Bakiye (₺)],ROW($A264)-ROW(tblOrtak[[#Headers],[Tarih]])-1)+$E264,$E264),$E264))</f>
        <v/>
      </c>
      <c r="G264" s="19" t="str">
        <f aca="false">IF($A264="","",IFERROR(IF(INDEX(tblOrtak[Tarih],ROW($A264)-ROW(tblOrtak[[#Headers],[Tarih]])+1)=0,RaporTarihi,INDEX(tblOrtak[Tarih],ROW($A264)-ROW(tblOrtak[[#Headers],[Tarih]])+1))-$A264,RaporTarihi-$A264))</f>
        <v/>
      </c>
      <c r="H264" s="18" t="n">
        <f aca="false">IF($F264="",0,ROUND($F264*$G264,0))</f>
        <v>0</v>
      </c>
      <c r="I264" s="18" t="n">
        <f aca="false">IF($H264="",0,ROUND($H264*AdatFaizOran/AdatYilGunSayisi,2))</f>
        <v>0</v>
      </c>
      <c r="J264" s="22"/>
    </row>
    <row r="265" customFormat="false" ht="15" hidden="false" customHeight="false" outlineLevel="0" collapsed="false">
      <c r="A265" s="21"/>
      <c r="B265" s="22"/>
      <c r="C265" s="22"/>
      <c r="D265" s="23"/>
      <c r="E265" s="20" t="str">
        <f aca="false">IF($A265="","",IF($C265="Borç",-$D265,$D265))</f>
        <v/>
      </c>
      <c r="F265" s="18" t="str">
        <f aca="false">IF($A265="","",IFERROR(IF(INDEX(tblOrtak[Ortak Adı],ROW($A265)-ROW(tblOrtak[[#Headers],[Tarih]])-1)=$B265,INDEX(tblOrtak[Bakiye (₺)],ROW($A265)-ROW(tblOrtak[[#Headers],[Tarih]])-1)+$E265,$E265),$E265))</f>
        <v/>
      </c>
      <c r="G265" s="19" t="str">
        <f aca="false">IF($A265="","",IFERROR(IF(INDEX(tblOrtak[Tarih],ROW($A265)-ROW(tblOrtak[[#Headers],[Tarih]])+1)=0,RaporTarihi,INDEX(tblOrtak[Tarih],ROW($A265)-ROW(tblOrtak[[#Headers],[Tarih]])+1))-$A265,RaporTarihi-$A265))</f>
        <v/>
      </c>
      <c r="H265" s="18" t="n">
        <f aca="false">IF($F265="",0,ROUND($F265*$G265,0))</f>
        <v>0</v>
      </c>
      <c r="I265" s="18" t="n">
        <f aca="false">IF($H265="",0,ROUND($H265*AdatFaizOran/AdatYilGunSayisi,2))</f>
        <v>0</v>
      </c>
      <c r="J265" s="22"/>
    </row>
    <row r="266" customFormat="false" ht="15" hidden="false" customHeight="false" outlineLevel="0" collapsed="false">
      <c r="A266" s="21"/>
      <c r="B266" s="22"/>
      <c r="C266" s="22"/>
      <c r="D266" s="23"/>
      <c r="E266" s="20" t="str">
        <f aca="false">IF($A266="","",IF($C266="Borç",-$D266,$D266))</f>
        <v/>
      </c>
      <c r="F266" s="18" t="str">
        <f aca="false">IF($A266="","",IFERROR(IF(INDEX(tblOrtak[Ortak Adı],ROW($A266)-ROW(tblOrtak[[#Headers],[Tarih]])-1)=$B266,INDEX(tblOrtak[Bakiye (₺)],ROW($A266)-ROW(tblOrtak[[#Headers],[Tarih]])-1)+$E266,$E266),$E266))</f>
        <v/>
      </c>
      <c r="G266" s="19" t="str">
        <f aca="false">IF($A266="","",IFERROR(IF(INDEX(tblOrtak[Tarih],ROW($A266)-ROW(tblOrtak[[#Headers],[Tarih]])+1)=0,RaporTarihi,INDEX(tblOrtak[Tarih],ROW($A266)-ROW(tblOrtak[[#Headers],[Tarih]])+1))-$A266,RaporTarihi-$A266))</f>
        <v/>
      </c>
      <c r="H266" s="18" t="n">
        <f aca="false">IF($F266="",0,ROUND($F266*$G266,0))</f>
        <v>0</v>
      </c>
      <c r="I266" s="18" t="n">
        <f aca="false">IF($H266="",0,ROUND($H266*AdatFaizOran/AdatYilGunSayisi,2))</f>
        <v>0</v>
      </c>
      <c r="J266" s="22"/>
    </row>
    <row r="267" customFormat="false" ht="15" hidden="false" customHeight="false" outlineLevel="0" collapsed="false">
      <c r="A267" s="21"/>
      <c r="B267" s="22"/>
      <c r="C267" s="22"/>
      <c r="D267" s="23"/>
      <c r="E267" s="20" t="str">
        <f aca="false">IF($A267="","",IF($C267="Borç",-$D267,$D267))</f>
        <v/>
      </c>
      <c r="F267" s="18" t="str">
        <f aca="false">IF($A267="","",IFERROR(IF(INDEX(tblOrtak[Ortak Adı],ROW($A267)-ROW(tblOrtak[[#Headers],[Tarih]])-1)=$B267,INDEX(tblOrtak[Bakiye (₺)],ROW($A267)-ROW(tblOrtak[[#Headers],[Tarih]])-1)+$E267,$E267),$E267))</f>
        <v/>
      </c>
      <c r="G267" s="19" t="str">
        <f aca="false">IF($A267="","",IFERROR(IF(INDEX(tblOrtak[Tarih],ROW($A267)-ROW(tblOrtak[[#Headers],[Tarih]])+1)=0,RaporTarihi,INDEX(tblOrtak[Tarih],ROW($A267)-ROW(tblOrtak[[#Headers],[Tarih]])+1))-$A267,RaporTarihi-$A267))</f>
        <v/>
      </c>
      <c r="H267" s="18" t="n">
        <f aca="false">IF($F267="",0,ROUND($F267*$G267,0))</f>
        <v>0</v>
      </c>
      <c r="I267" s="18" t="n">
        <f aca="false">IF($H267="",0,ROUND($H267*AdatFaizOran/AdatYilGunSayisi,2))</f>
        <v>0</v>
      </c>
      <c r="J267" s="22"/>
    </row>
    <row r="268" customFormat="false" ht="15" hidden="false" customHeight="false" outlineLevel="0" collapsed="false">
      <c r="A268" s="21"/>
      <c r="B268" s="22"/>
      <c r="C268" s="22"/>
      <c r="D268" s="23"/>
      <c r="E268" s="20" t="str">
        <f aca="false">IF($A268="","",IF($C268="Borç",-$D268,$D268))</f>
        <v/>
      </c>
      <c r="F268" s="18" t="str">
        <f aca="false">IF($A268="","",IFERROR(IF(INDEX(tblOrtak[Ortak Adı],ROW($A268)-ROW(tblOrtak[[#Headers],[Tarih]])-1)=$B268,INDEX(tblOrtak[Bakiye (₺)],ROW($A268)-ROW(tblOrtak[[#Headers],[Tarih]])-1)+$E268,$E268),$E268))</f>
        <v/>
      </c>
      <c r="G268" s="19" t="str">
        <f aca="false">IF($A268="","",IFERROR(IF(INDEX(tblOrtak[Tarih],ROW($A268)-ROW(tblOrtak[[#Headers],[Tarih]])+1)=0,RaporTarihi,INDEX(tblOrtak[Tarih],ROW($A268)-ROW(tblOrtak[[#Headers],[Tarih]])+1))-$A268,RaporTarihi-$A268))</f>
        <v/>
      </c>
      <c r="H268" s="18" t="n">
        <f aca="false">IF($F268="",0,ROUND($F268*$G268,0))</f>
        <v>0</v>
      </c>
      <c r="I268" s="18" t="n">
        <f aca="false">IF($H268="",0,ROUND($H268*AdatFaizOran/AdatYilGunSayisi,2))</f>
        <v>0</v>
      </c>
      <c r="J268" s="22"/>
    </row>
    <row r="269" customFormat="false" ht="15" hidden="false" customHeight="false" outlineLevel="0" collapsed="false">
      <c r="A269" s="21"/>
      <c r="B269" s="22"/>
      <c r="C269" s="22"/>
      <c r="D269" s="23"/>
      <c r="E269" s="20" t="str">
        <f aca="false">IF($A269="","",IF($C269="Borç",-$D269,$D269))</f>
        <v/>
      </c>
      <c r="F269" s="18" t="str">
        <f aca="false">IF($A269="","",IFERROR(IF(INDEX(tblOrtak[Ortak Adı],ROW($A269)-ROW(tblOrtak[[#Headers],[Tarih]])-1)=$B269,INDEX(tblOrtak[Bakiye (₺)],ROW($A269)-ROW(tblOrtak[[#Headers],[Tarih]])-1)+$E269,$E269),$E269))</f>
        <v/>
      </c>
      <c r="G269" s="19" t="str">
        <f aca="false">IF($A269="","",IFERROR(IF(INDEX(tblOrtak[Tarih],ROW($A269)-ROW(tblOrtak[[#Headers],[Tarih]])+1)=0,RaporTarihi,INDEX(tblOrtak[Tarih],ROW($A269)-ROW(tblOrtak[[#Headers],[Tarih]])+1))-$A269,RaporTarihi-$A269))</f>
        <v/>
      </c>
      <c r="H269" s="18" t="n">
        <f aca="false">IF($F269="",0,ROUND($F269*$G269,0))</f>
        <v>0</v>
      </c>
      <c r="I269" s="18" t="n">
        <f aca="false">IF($H269="",0,ROUND($H269*AdatFaizOran/AdatYilGunSayisi,2))</f>
        <v>0</v>
      </c>
      <c r="J269" s="22"/>
    </row>
    <row r="270" customFormat="false" ht="15" hidden="false" customHeight="false" outlineLevel="0" collapsed="false">
      <c r="A270" s="21"/>
      <c r="B270" s="22"/>
      <c r="C270" s="22"/>
      <c r="D270" s="23"/>
      <c r="E270" s="20" t="str">
        <f aca="false">IF($A270="","",IF($C270="Borç",-$D270,$D270))</f>
        <v/>
      </c>
      <c r="F270" s="18" t="str">
        <f aca="false">IF($A270="","",IFERROR(IF(INDEX(tblOrtak[Ortak Adı],ROW($A270)-ROW(tblOrtak[[#Headers],[Tarih]])-1)=$B270,INDEX(tblOrtak[Bakiye (₺)],ROW($A270)-ROW(tblOrtak[[#Headers],[Tarih]])-1)+$E270,$E270),$E270))</f>
        <v/>
      </c>
      <c r="G270" s="19" t="str">
        <f aca="false">IF($A270="","",IFERROR(IF(INDEX(tblOrtak[Tarih],ROW($A270)-ROW(tblOrtak[[#Headers],[Tarih]])+1)=0,RaporTarihi,INDEX(tblOrtak[Tarih],ROW($A270)-ROW(tblOrtak[[#Headers],[Tarih]])+1))-$A270,RaporTarihi-$A270))</f>
        <v/>
      </c>
      <c r="H270" s="18" t="n">
        <f aca="false">IF($F270="",0,ROUND($F270*$G270,0))</f>
        <v>0</v>
      </c>
      <c r="I270" s="18" t="n">
        <f aca="false">IF($H270="",0,ROUND($H270*AdatFaizOran/AdatYilGunSayisi,2))</f>
        <v>0</v>
      </c>
      <c r="J270" s="22"/>
    </row>
    <row r="271" customFormat="false" ht="15" hidden="false" customHeight="false" outlineLevel="0" collapsed="false">
      <c r="A271" s="21"/>
      <c r="B271" s="22"/>
      <c r="C271" s="22"/>
      <c r="D271" s="23"/>
      <c r="E271" s="20" t="str">
        <f aca="false">IF($A271="","",IF($C271="Borç",-$D271,$D271))</f>
        <v/>
      </c>
      <c r="F271" s="18" t="str">
        <f aca="false">IF($A271="","",IFERROR(IF(INDEX(tblOrtak[Ortak Adı],ROW($A271)-ROW(tblOrtak[[#Headers],[Tarih]])-1)=$B271,INDEX(tblOrtak[Bakiye (₺)],ROW($A271)-ROW(tblOrtak[[#Headers],[Tarih]])-1)+$E271,$E271),$E271))</f>
        <v/>
      </c>
      <c r="G271" s="19" t="str">
        <f aca="false">IF($A271="","",IFERROR(IF(INDEX(tblOrtak[Tarih],ROW($A271)-ROW(tblOrtak[[#Headers],[Tarih]])+1)=0,RaporTarihi,INDEX(tblOrtak[Tarih],ROW($A271)-ROW(tblOrtak[[#Headers],[Tarih]])+1))-$A271,RaporTarihi-$A271))</f>
        <v/>
      </c>
      <c r="H271" s="18" t="n">
        <f aca="false">IF($F271="",0,ROUND($F271*$G271,0))</f>
        <v>0</v>
      </c>
      <c r="I271" s="18" t="n">
        <f aca="false">IF($H271="",0,ROUND($H271*AdatFaizOran/AdatYilGunSayisi,2))</f>
        <v>0</v>
      </c>
      <c r="J271" s="22"/>
    </row>
    <row r="272" customFormat="false" ht="15" hidden="false" customHeight="false" outlineLevel="0" collapsed="false">
      <c r="A272" s="21"/>
      <c r="B272" s="22"/>
      <c r="C272" s="22"/>
      <c r="D272" s="23"/>
      <c r="E272" s="20" t="str">
        <f aca="false">IF($A272="","",IF($C272="Borç",-$D272,$D272))</f>
        <v/>
      </c>
      <c r="F272" s="18" t="str">
        <f aca="false">IF($A272="","",IFERROR(IF(INDEX(tblOrtak[Ortak Adı],ROW($A272)-ROW(tblOrtak[[#Headers],[Tarih]])-1)=$B272,INDEX(tblOrtak[Bakiye (₺)],ROW($A272)-ROW(tblOrtak[[#Headers],[Tarih]])-1)+$E272,$E272),$E272))</f>
        <v/>
      </c>
      <c r="G272" s="19" t="str">
        <f aca="false">IF($A272="","",IFERROR(IF(INDEX(tblOrtak[Tarih],ROW($A272)-ROW(tblOrtak[[#Headers],[Tarih]])+1)=0,RaporTarihi,INDEX(tblOrtak[Tarih],ROW($A272)-ROW(tblOrtak[[#Headers],[Tarih]])+1))-$A272,RaporTarihi-$A272))</f>
        <v/>
      </c>
      <c r="H272" s="18" t="n">
        <f aca="false">IF($F272="",0,ROUND($F272*$G272,0))</f>
        <v>0</v>
      </c>
      <c r="I272" s="18" t="n">
        <f aca="false">IF($H272="",0,ROUND($H272*AdatFaizOran/AdatYilGunSayisi,2))</f>
        <v>0</v>
      </c>
      <c r="J272" s="22"/>
    </row>
    <row r="273" customFormat="false" ht="15" hidden="false" customHeight="false" outlineLevel="0" collapsed="false">
      <c r="A273" s="21"/>
      <c r="B273" s="22"/>
      <c r="C273" s="22"/>
      <c r="D273" s="23"/>
      <c r="E273" s="20" t="str">
        <f aca="false">IF($A273="","",IF($C273="Borç",-$D273,$D273))</f>
        <v/>
      </c>
      <c r="F273" s="18" t="str">
        <f aca="false">IF($A273="","",IFERROR(IF(INDEX(tblOrtak[Ortak Adı],ROW($A273)-ROW(tblOrtak[[#Headers],[Tarih]])-1)=$B273,INDEX(tblOrtak[Bakiye (₺)],ROW($A273)-ROW(tblOrtak[[#Headers],[Tarih]])-1)+$E273,$E273),$E273))</f>
        <v/>
      </c>
      <c r="G273" s="19" t="str">
        <f aca="false">IF($A273="","",IFERROR(IF(INDEX(tblOrtak[Tarih],ROW($A273)-ROW(tblOrtak[[#Headers],[Tarih]])+1)=0,RaporTarihi,INDEX(tblOrtak[Tarih],ROW($A273)-ROW(tblOrtak[[#Headers],[Tarih]])+1))-$A273,RaporTarihi-$A273))</f>
        <v/>
      </c>
      <c r="H273" s="18" t="n">
        <f aca="false">IF($F273="",0,ROUND($F273*$G273,0))</f>
        <v>0</v>
      </c>
      <c r="I273" s="18" t="n">
        <f aca="false">IF($H273="",0,ROUND($H273*AdatFaizOran/AdatYilGunSayisi,2))</f>
        <v>0</v>
      </c>
      <c r="J273" s="22"/>
    </row>
    <row r="274" customFormat="false" ht="15" hidden="false" customHeight="false" outlineLevel="0" collapsed="false">
      <c r="A274" s="21"/>
      <c r="B274" s="22"/>
      <c r="C274" s="22"/>
      <c r="D274" s="23"/>
      <c r="E274" s="20" t="str">
        <f aca="false">IF($A274="","",IF($C274="Borç",-$D274,$D274))</f>
        <v/>
      </c>
      <c r="F274" s="18" t="str">
        <f aca="false">IF($A274="","",IFERROR(IF(INDEX(tblOrtak[Ortak Adı],ROW($A274)-ROW(tblOrtak[[#Headers],[Tarih]])-1)=$B274,INDEX(tblOrtak[Bakiye (₺)],ROW($A274)-ROW(tblOrtak[[#Headers],[Tarih]])-1)+$E274,$E274),$E274))</f>
        <v/>
      </c>
      <c r="G274" s="19" t="str">
        <f aca="false">IF($A274="","",IFERROR(IF(INDEX(tblOrtak[Tarih],ROW($A274)-ROW(tblOrtak[[#Headers],[Tarih]])+1)=0,RaporTarihi,INDEX(tblOrtak[Tarih],ROW($A274)-ROW(tblOrtak[[#Headers],[Tarih]])+1))-$A274,RaporTarihi-$A274))</f>
        <v/>
      </c>
      <c r="H274" s="18" t="n">
        <f aca="false">IF($F274="",0,ROUND($F274*$G274,0))</f>
        <v>0</v>
      </c>
      <c r="I274" s="18" t="n">
        <f aca="false">IF($H274="",0,ROUND($H274*AdatFaizOran/AdatYilGunSayisi,2))</f>
        <v>0</v>
      </c>
      <c r="J274" s="22"/>
    </row>
    <row r="275" customFormat="false" ht="15" hidden="false" customHeight="false" outlineLevel="0" collapsed="false">
      <c r="A275" s="21"/>
      <c r="B275" s="22"/>
      <c r="C275" s="22"/>
      <c r="D275" s="23"/>
      <c r="E275" s="20" t="str">
        <f aca="false">IF($A275="","",IF($C275="Borç",-$D275,$D275))</f>
        <v/>
      </c>
      <c r="F275" s="18" t="str">
        <f aca="false">IF($A275="","",IFERROR(IF(INDEX(tblOrtak[Ortak Adı],ROW($A275)-ROW(tblOrtak[[#Headers],[Tarih]])-1)=$B275,INDEX(tblOrtak[Bakiye (₺)],ROW($A275)-ROW(tblOrtak[[#Headers],[Tarih]])-1)+$E275,$E275),$E275))</f>
        <v/>
      </c>
      <c r="G275" s="19" t="str">
        <f aca="false">IF($A275="","",IFERROR(IF(INDEX(tblOrtak[Tarih],ROW($A275)-ROW(tblOrtak[[#Headers],[Tarih]])+1)=0,RaporTarihi,INDEX(tblOrtak[Tarih],ROW($A275)-ROW(tblOrtak[[#Headers],[Tarih]])+1))-$A275,RaporTarihi-$A275))</f>
        <v/>
      </c>
      <c r="H275" s="18" t="n">
        <f aca="false">IF($F275="",0,ROUND($F275*$G275,0))</f>
        <v>0</v>
      </c>
      <c r="I275" s="18" t="n">
        <f aca="false">IF($H275="",0,ROUND($H275*AdatFaizOran/AdatYilGunSayisi,2))</f>
        <v>0</v>
      </c>
      <c r="J275" s="22"/>
    </row>
    <row r="276" customFormat="false" ht="15" hidden="false" customHeight="false" outlineLevel="0" collapsed="false">
      <c r="A276" s="21"/>
      <c r="B276" s="22"/>
      <c r="C276" s="22"/>
      <c r="D276" s="23"/>
      <c r="E276" s="20" t="str">
        <f aca="false">IF($A276="","",IF($C276="Borç",-$D276,$D276))</f>
        <v/>
      </c>
      <c r="F276" s="18" t="str">
        <f aca="false">IF($A276="","",IFERROR(IF(INDEX(tblOrtak[Ortak Adı],ROW($A276)-ROW(tblOrtak[[#Headers],[Tarih]])-1)=$B276,INDEX(tblOrtak[Bakiye (₺)],ROW($A276)-ROW(tblOrtak[[#Headers],[Tarih]])-1)+$E276,$E276),$E276))</f>
        <v/>
      </c>
      <c r="G276" s="19" t="str">
        <f aca="false">IF($A276="","",IFERROR(IF(INDEX(tblOrtak[Tarih],ROW($A276)-ROW(tblOrtak[[#Headers],[Tarih]])+1)=0,RaporTarihi,INDEX(tblOrtak[Tarih],ROW($A276)-ROW(tblOrtak[[#Headers],[Tarih]])+1))-$A276,RaporTarihi-$A276))</f>
        <v/>
      </c>
      <c r="H276" s="18" t="n">
        <f aca="false">IF($F276="",0,ROUND($F276*$G276,0))</f>
        <v>0</v>
      </c>
      <c r="I276" s="18" t="n">
        <f aca="false">IF($H276="",0,ROUND($H276*AdatFaizOran/AdatYilGunSayisi,2))</f>
        <v>0</v>
      </c>
      <c r="J276" s="22"/>
    </row>
    <row r="277" customFormat="false" ht="15" hidden="false" customHeight="false" outlineLevel="0" collapsed="false">
      <c r="A277" s="21"/>
      <c r="B277" s="22"/>
      <c r="C277" s="22"/>
      <c r="D277" s="23"/>
      <c r="E277" s="20" t="str">
        <f aca="false">IF($A277="","",IF($C277="Borç",-$D277,$D277))</f>
        <v/>
      </c>
      <c r="F277" s="18" t="str">
        <f aca="false">IF($A277="","",IFERROR(IF(INDEX(tblOrtak[Ortak Adı],ROW($A277)-ROW(tblOrtak[[#Headers],[Tarih]])-1)=$B277,INDEX(tblOrtak[Bakiye (₺)],ROW($A277)-ROW(tblOrtak[[#Headers],[Tarih]])-1)+$E277,$E277),$E277))</f>
        <v/>
      </c>
      <c r="G277" s="19" t="str">
        <f aca="false">IF($A277="","",IFERROR(IF(INDEX(tblOrtak[Tarih],ROW($A277)-ROW(tblOrtak[[#Headers],[Tarih]])+1)=0,RaporTarihi,INDEX(tblOrtak[Tarih],ROW($A277)-ROW(tblOrtak[[#Headers],[Tarih]])+1))-$A277,RaporTarihi-$A277))</f>
        <v/>
      </c>
      <c r="H277" s="18" t="n">
        <f aca="false">IF($F277="",0,ROUND($F277*$G277,0))</f>
        <v>0</v>
      </c>
      <c r="I277" s="18" t="n">
        <f aca="false">IF($H277="",0,ROUND($H277*AdatFaizOran/AdatYilGunSayisi,2))</f>
        <v>0</v>
      </c>
      <c r="J277" s="22"/>
    </row>
    <row r="278" customFormat="false" ht="15" hidden="false" customHeight="false" outlineLevel="0" collapsed="false">
      <c r="A278" s="21"/>
      <c r="B278" s="22"/>
      <c r="C278" s="22"/>
      <c r="D278" s="23"/>
      <c r="E278" s="20" t="str">
        <f aca="false">IF($A278="","",IF($C278="Borç",-$D278,$D278))</f>
        <v/>
      </c>
      <c r="F278" s="18" t="str">
        <f aca="false">IF($A278="","",IFERROR(IF(INDEX(tblOrtak[Ortak Adı],ROW($A278)-ROW(tblOrtak[[#Headers],[Tarih]])-1)=$B278,INDEX(tblOrtak[Bakiye (₺)],ROW($A278)-ROW(tblOrtak[[#Headers],[Tarih]])-1)+$E278,$E278),$E278))</f>
        <v/>
      </c>
      <c r="G278" s="19" t="str">
        <f aca="false">IF($A278="","",IFERROR(IF(INDEX(tblOrtak[Tarih],ROW($A278)-ROW(tblOrtak[[#Headers],[Tarih]])+1)=0,RaporTarihi,INDEX(tblOrtak[Tarih],ROW($A278)-ROW(tblOrtak[[#Headers],[Tarih]])+1))-$A278,RaporTarihi-$A278))</f>
        <v/>
      </c>
      <c r="H278" s="18" t="n">
        <f aca="false">IF($F278="",0,ROUND($F278*$G278,0))</f>
        <v>0</v>
      </c>
      <c r="I278" s="18" t="n">
        <f aca="false">IF($H278="",0,ROUND($H278*AdatFaizOran/AdatYilGunSayisi,2))</f>
        <v>0</v>
      </c>
      <c r="J278" s="22"/>
    </row>
    <row r="279" customFormat="false" ht="15" hidden="false" customHeight="false" outlineLevel="0" collapsed="false">
      <c r="A279" s="21"/>
      <c r="B279" s="22"/>
      <c r="C279" s="22"/>
      <c r="D279" s="23"/>
      <c r="E279" s="20" t="str">
        <f aca="false">IF($A279="","",IF($C279="Borç",-$D279,$D279))</f>
        <v/>
      </c>
      <c r="F279" s="18" t="str">
        <f aca="false">IF($A279="","",IFERROR(IF(INDEX(tblOrtak[Ortak Adı],ROW($A279)-ROW(tblOrtak[[#Headers],[Tarih]])-1)=$B279,INDEX(tblOrtak[Bakiye (₺)],ROW($A279)-ROW(tblOrtak[[#Headers],[Tarih]])-1)+$E279,$E279),$E279))</f>
        <v/>
      </c>
      <c r="G279" s="19" t="str">
        <f aca="false">IF($A279="","",IFERROR(IF(INDEX(tblOrtak[Tarih],ROW($A279)-ROW(tblOrtak[[#Headers],[Tarih]])+1)=0,RaporTarihi,INDEX(tblOrtak[Tarih],ROW($A279)-ROW(tblOrtak[[#Headers],[Tarih]])+1))-$A279,RaporTarihi-$A279))</f>
        <v/>
      </c>
      <c r="H279" s="18" t="n">
        <f aca="false">IF($F279="",0,ROUND($F279*$G279,0))</f>
        <v>0</v>
      </c>
      <c r="I279" s="18" t="n">
        <f aca="false">IF($H279="",0,ROUND($H279*AdatFaizOran/AdatYilGunSayisi,2))</f>
        <v>0</v>
      </c>
      <c r="J279" s="22"/>
    </row>
    <row r="280" customFormat="false" ht="15" hidden="false" customHeight="false" outlineLevel="0" collapsed="false">
      <c r="A280" s="21"/>
      <c r="B280" s="22"/>
      <c r="C280" s="22"/>
      <c r="D280" s="23"/>
      <c r="E280" s="20" t="str">
        <f aca="false">IF($A280="","",IF($C280="Borç",-$D280,$D280))</f>
        <v/>
      </c>
      <c r="F280" s="18" t="str">
        <f aca="false">IF($A280="","",IFERROR(IF(INDEX(tblOrtak[Ortak Adı],ROW($A280)-ROW(tblOrtak[[#Headers],[Tarih]])-1)=$B280,INDEX(tblOrtak[Bakiye (₺)],ROW($A280)-ROW(tblOrtak[[#Headers],[Tarih]])-1)+$E280,$E280),$E280))</f>
        <v/>
      </c>
      <c r="G280" s="19" t="str">
        <f aca="false">IF($A280="","",IFERROR(IF(INDEX(tblOrtak[Tarih],ROW($A280)-ROW(tblOrtak[[#Headers],[Tarih]])+1)=0,RaporTarihi,INDEX(tblOrtak[Tarih],ROW($A280)-ROW(tblOrtak[[#Headers],[Tarih]])+1))-$A280,RaporTarihi-$A280))</f>
        <v/>
      </c>
      <c r="H280" s="18" t="n">
        <f aca="false">IF($F280="",0,ROUND($F280*$G280,0))</f>
        <v>0</v>
      </c>
      <c r="I280" s="18" t="n">
        <f aca="false">IF($H280="",0,ROUND($H280*AdatFaizOran/AdatYilGunSayisi,2))</f>
        <v>0</v>
      </c>
      <c r="J280" s="22"/>
    </row>
    <row r="281" customFormat="false" ht="15" hidden="false" customHeight="false" outlineLevel="0" collapsed="false">
      <c r="A281" s="21"/>
      <c r="B281" s="22"/>
      <c r="C281" s="22"/>
      <c r="D281" s="23"/>
      <c r="E281" s="20" t="str">
        <f aca="false">IF($A281="","",IF($C281="Borç",-$D281,$D281))</f>
        <v/>
      </c>
      <c r="F281" s="18" t="str">
        <f aca="false">IF($A281="","",IFERROR(IF(INDEX(tblOrtak[Ortak Adı],ROW($A281)-ROW(tblOrtak[[#Headers],[Tarih]])-1)=$B281,INDEX(tblOrtak[Bakiye (₺)],ROW($A281)-ROW(tblOrtak[[#Headers],[Tarih]])-1)+$E281,$E281),$E281))</f>
        <v/>
      </c>
      <c r="G281" s="19" t="str">
        <f aca="false">IF($A281="","",IFERROR(IF(INDEX(tblOrtak[Tarih],ROW($A281)-ROW(tblOrtak[[#Headers],[Tarih]])+1)=0,RaporTarihi,INDEX(tblOrtak[Tarih],ROW($A281)-ROW(tblOrtak[[#Headers],[Tarih]])+1))-$A281,RaporTarihi-$A281))</f>
        <v/>
      </c>
      <c r="H281" s="18" t="n">
        <f aca="false">IF($F281="",0,ROUND($F281*$G281,0))</f>
        <v>0</v>
      </c>
      <c r="I281" s="18" t="n">
        <f aca="false">IF($H281="",0,ROUND($H281*AdatFaizOran/AdatYilGunSayisi,2))</f>
        <v>0</v>
      </c>
      <c r="J281" s="22"/>
    </row>
    <row r="282" customFormat="false" ht="15" hidden="false" customHeight="false" outlineLevel="0" collapsed="false">
      <c r="A282" s="21"/>
      <c r="B282" s="22"/>
      <c r="C282" s="22"/>
      <c r="D282" s="23"/>
      <c r="E282" s="20" t="str">
        <f aca="false">IF($A282="","",IF($C282="Borç",-$D282,$D282))</f>
        <v/>
      </c>
      <c r="F282" s="18" t="str">
        <f aca="false">IF($A282="","",IFERROR(IF(INDEX(tblOrtak[Ortak Adı],ROW($A282)-ROW(tblOrtak[[#Headers],[Tarih]])-1)=$B282,INDEX(tblOrtak[Bakiye (₺)],ROW($A282)-ROW(tblOrtak[[#Headers],[Tarih]])-1)+$E282,$E282),$E282))</f>
        <v/>
      </c>
      <c r="G282" s="19" t="str">
        <f aca="false">IF($A282="","",IFERROR(IF(INDEX(tblOrtak[Tarih],ROW($A282)-ROW(tblOrtak[[#Headers],[Tarih]])+1)=0,RaporTarihi,INDEX(tblOrtak[Tarih],ROW($A282)-ROW(tblOrtak[[#Headers],[Tarih]])+1))-$A282,RaporTarihi-$A282))</f>
        <v/>
      </c>
      <c r="H282" s="18" t="n">
        <f aca="false">IF($F282="",0,ROUND($F282*$G282,0))</f>
        <v>0</v>
      </c>
      <c r="I282" s="18" t="n">
        <f aca="false">IF($H282="",0,ROUND($H282*AdatFaizOran/AdatYilGunSayisi,2))</f>
        <v>0</v>
      </c>
      <c r="J282" s="22"/>
    </row>
    <row r="283" customFormat="false" ht="15" hidden="false" customHeight="false" outlineLevel="0" collapsed="false">
      <c r="A283" s="21"/>
      <c r="B283" s="22"/>
      <c r="C283" s="22"/>
      <c r="D283" s="23"/>
      <c r="E283" s="20" t="str">
        <f aca="false">IF($A283="","",IF($C283="Borç",-$D283,$D283))</f>
        <v/>
      </c>
      <c r="F283" s="18" t="str">
        <f aca="false">IF($A283="","",IFERROR(IF(INDEX(tblOrtak[Ortak Adı],ROW($A283)-ROW(tblOrtak[[#Headers],[Tarih]])-1)=$B283,INDEX(tblOrtak[Bakiye (₺)],ROW($A283)-ROW(tblOrtak[[#Headers],[Tarih]])-1)+$E283,$E283),$E283))</f>
        <v/>
      </c>
      <c r="G283" s="19" t="str">
        <f aca="false">IF($A283="","",IFERROR(IF(INDEX(tblOrtak[Tarih],ROW($A283)-ROW(tblOrtak[[#Headers],[Tarih]])+1)=0,RaporTarihi,INDEX(tblOrtak[Tarih],ROW($A283)-ROW(tblOrtak[[#Headers],[Tarih]])+1))-$A283,RaporTarihi-$A283))</f>
        <v/>
      </c>
      <c r="H283" s="18" t="n">
        <f aca="false">IF($F283="",0,ROUND($F283*$G283,0))</f>
        <v>0</v>
      </c>
      <c r="I283" s="18" t="n">
        <f aca="false">IF($H283="",0,ROUND($H283*AdatFaizOran/AdatYilGunSayisi,2))</f>
        <v>0</v>
      </c>
      <c r="J283" s="22"/>
    </row>
    <row r="284" customFormat="false" ht="15" hidden="false" customHeight="false" outlineLevel="0" collapsed="false">
      <c r="A284" s="21"/>
      <c r="B284" s="22"/>
      <c r="C284" s="22"/>
      <c r="D284" s="23"/>
      <c r="E284" s="20" t="str">
        <f aca="false">IF($A284="","",IF($C284="Borç",-$D284,$D284))</f>
        <v/>
      </c>
      <c r="F284" s="18" t="str">
        <f aca="false">IF($A284="","",IFERROR(IF(INDEX(tblOrtak[Ortak Adı],ROW($A284)-ROW(tblOrtak[[#Headers],[Tarih]])-1)=$B284,INDEX(tblOrtak[Bakiye (₺)],ROW($A284)-ROW(tblOrtak[[#Headers],[Tarih]])-1)+$E284,$E284),$E284))</f>
        <v/>
      </c>
      <c r="G284" s="19" t="str">
        <f aca="false">IF($A284="","",IFERROR(IF(INDEX(tblOrtak[Tarih],ROW($A284)-ROW(tblOrtak[[#Headers],[Tarih]])+1)=0,RaporTarihi,INDEX(tblOrtak[Tarih],ROW($A284)-ROW(tblOrtak[[#Headers],[Tarih]])+1))-$A284,RaporTarihi-$A284))</f>
        <v/>
      </c>
      <c r="H284" s="18" t="n">
        <f aca="false">IF($F284="",0,ROUND($F284*$G284,0))</f>
        <v>0</v>
      </c>
      <c r="I284" s="18" t="n">
        <f aca="false">IF($H284="",0,ROUND($H284*AdatFaizOran/AdatYilGunSayisi,2))</f>
        <v>0</v>
      </c>
      <c r="J284" s="22"/>
    </row>
    <row r="285" customFormat="false" ht="15" hidden="false" customHeight="false" outlineLevel="0" collapsed="false">
      <c r="A285" s="21"/>
      <c r="B285" s="22"/>
      <c r="C285" s="22"/>
      <c r="D285" s="23"/>
      <c r="E285" s="20" t="str">
        <f aca="false">IF($A285="","",IF($C285="Borç",-$D285,$D285))</f>
        <v/>
      </c>
      <c r="F285" s="18" t="str">
        <f aca="false">IF($A285="","",IFERROR(IF(INDEX(tblOrtak[Ortak Adı],ROW($A285)-ROW(tblOrtak[[#Headers],[Tarih]])-1)=$B285,INDEX(tblOrtak[Bakiye (₺)],ROW($A285)-ROW(tblOrtak[[#Headers],[Tarih]])-1)+$E285,$E285),$E285))</f>
        <v/>
      </c>
      <c r="G285" s="19" t="str">
        <f aca="false">IF($A285="","",IFERROR(IF(INDEX(tblOrtak[Tarih],ROW($A285)-ROW(tblOrtak[[#Headers],[Tarih]])+1)=0,RaporTarihi,INDEX(tblOrtak[Tarih],ROW($A285)-ROW(tblOrtak[[#Headers],[Tarih]])+1))-$A285,RaporTarihi-$A285))</f>
        <v/>
      </c>
      <c r="H285" s="18" t="n">
        <f aca="false">IF($F285="",0,ROUND($F285*$G285,0))</f>
        <v>0</v>
      </c>
      <c r="I285" s="18" t="n">
        <f aca="false">IF($H285="",0,ROUND($H285*AdatFaizOran/AdatYilGunSayisi,2))</f>
        <v>0</v>
      </c>
      <c r="J285" s="22"/>
    </row>
    <row r="286" customFormat="false" ht="15" hidden="false" customHeight="false" outlineLevel="0" collapsed="false">
      <c r="A286" s="21"/>
      <c r="B286" s="22"/>
      <c r="C286" s="22"/>
      <c r="D286" s="23"/>
      <c r="E286" s="20" t="str">
        <f aca="false">IF($A286="","",IF($C286="Borç",-$D286,$D286))</f>
        <v/>
      </c>
      <c r="F286" s="18" t="str">
        <f aca="false">IF($A286="","",IFERROR(IF(INDEX(tblOrtak[Ortak Adı],ROW($A286)-ROW(tblOrtak[[#Headers],[Tarih]])-1)=$B286,INDEX(tblOrtak[Bakiye (₺)],ROW($A286)-ROW(tblOrtak[[#Headers],[Tarih]])-1)+$E286,$E286),$E286))</f>
        <v/>
      </c>
      <c r="G286" s="19" t="str">
        <f aca="false">IF($A286="","",IFERROR(IF(INDEX(tblOrtak[Tarih],ROW($A286)-ROW(tblOrtak[[#Headers],[Tarih]])+1)=0,RaporTarihi,INDEX(tblOrtak[Tarih],ROW($A286)-ROW(tblOrtak[[#Headers],[Tarih]])+1))-$A286,RaporTarihi-$A286))</f>
        <v/>
      </c>
      <c r="H286" s="18" t="n">
        <f aca="false">IF($F286="",0,ROUND($F286*$G286,0))</f>
        <v>0</v>
      </c>
      <c r="I286" s="18" t="n">
        <f aca="false">IF($H286="",0,ROUND($H286*AdatFaizOran/AdatYilGunSayisi,2))</f>
        <v>0</v>
      </c>
      <c r="J286" s="22"/>
    </row>
    <row r="287" customFormat="false" ht="15" hidden="false" customHeight="false" outlineLevel="0" collapsed="false">
      <c r="A287" s="21"/>
      <c r="B287" s="22"/>
      <c r="C287" s="22"/>
      <c r="D287" s="23"/>
      <c r="E287" s="20" t="str">
        <f aca="false">IF($A287="","",IF($C287="Borç",-$D287,$D287))</f>
        <v/>
      </c>
      <c r="F287" s="18" t="str">
        <f aca="false">IF($A287="","",IFERROR(IF(INDEX(tblOrtak[Ortak Adı],ROW($A287)-ROW(tblOrtak[[#Headers],[Tarih]])-1)=$B287,INDEX(tblOrtak[Bakiye (₺)],ROW($A287)-ROW(tblOrtak[[#Headers],[Tarih]])-1)+$E287,$E287),$E287))</f>
        <v/>
      </c>
      <c r="G287" s="19" t="str">
        <f aca="false">IF($A287="","",IFERROR(IF(INDEX(tblOrtak[Tarih],ROW($A287)-ROW(tblOrtak[[#Headers],[Tarih]])+1)=0,RaporTarihi,INDEX(tblOrtak[Tarih],ROW($A287)-ROW(tblOrtak[[#Headers],[Tarih]])+1))-$A287,RaporTarihi-$A287))</f>
        <v/>
      </c>
      <c r="H287" s="18" t="n">
        <f aca="false">IF($F287="",0,ROUND($F287*$G287,0))</f>
        <v>0</v>
      </c>
      <c r="I287" s="18" t="n">
        <f aca="false">IF($H287="",0,ROUND($H287*AdatFaizOran/AdatYilGunSayisi,2))</f>
        <v>0</v>
      </c>
      <c r="J287" s="22"/>
    </row>
    <row r="288" customFormat="false" ht="15" hidden="false" customHeight="false" outlineLevel="0" collapsed="false">
      <c r="A288" s="21"/>
      <c r="B288" s="22"/>
      <c r="C288" s="22"/>
      <c r="D288" s="23"/>
      <c r="E288" s="20" t="str">
        <f aca="false">IF($A288="","",IF($C288="Borç",-$D288,$D288))</f>
        <v/>
      </c>
      <c r="F288" s="18" t="str">
        <f aca="false">IF($A288="","",IFERROR(IF(INDEX(tblOrtak[Ortak Adı],ROW($A288)-ROW(tblOrtak[[#Headers],[Tarih]])-1)=$B288,INDEX(tblOrtak[Bakiye (₺)],ROW($A288)-ROW(tblOrtak[[#Headers],[Tarih]])-1)+$E288,$E288),$E288))</f>
        <v/>
      </c>
      <c r="G288" s="19" t="str">
        <f aca="false">IF($A288="","",IFERROR(IF(INDEX(tblOrtak[Tarih],ROW($A288)-ROW(tblOrtak[[#Headers],[Tarih]])+1)=0,RaporTarihi,INDEX(tblOrtak[Tarih],ROW($A288)-ROW(tblOrtak[[#Headers],[Tarih]])+1))-$A288,RaporTarihi-$A288))</f>
        <v/>
      </c>
      <c r="H288" s="18" t="n">
        <f aca="false">IF($F288="",0,ROUND($F288*$G288,0))</f>
        <v>0</v>
      </c>
      <c r="I288" s="18" t="n">
        <f aca="false">IF($H288="",0,ROUND($H288*AdatFaizOran/AdatYilGunSayisi,2))</f>
        <v>0</v>
      </c>
      <c r="J288" s="22"/>
    </row>
    <row r="289" customFormat="false" ht="15" hidden="false" customHeight="false" outlineLevel="0" collapsed="false">
      <c r="A289" s="21"/>
      <c r="B289" s="22"/>
      <c r="C289" s="22"/>
      <c r="D289" s="23"/>
      <c r="E289" s="20" t="str">
        <f aca="false">IF($A289="","",IF($C289="Borç",-$D289,$D289))</f>
        <v/>
      </c>
      <c r="F289" s="18" t="str">
        <f aca="false">IF($A289="","",IFERROR(IF(INDEX(tblOrtak[Ortak Adı],ROW($A289)-ROW(tblOrtak[[#Headers],[Tarih]])-1)=$B289,INDEX(tblOrtak[Bakiye (₺)],ROW($A289)-ROW(tblOrtak[[#Headers],[Tarih]])-1)+$E289,$E289),$E289))</f>
        <v/>
      </c>
      <c r="G289" s="19" t="str">
        <f aca="false">IF($A289="","",IFERROR(IF(INDEX(tblOrtak[Tarih],ROW($A289)-ROW(tblOrtak[[#Headers],[Tarih]])+1)=0,RaporTarihi,INDEX(tblOrtak[Tarih],ROW($A289)-ROW(tblOrtak[[#Headers],[Tarih]])+1))-$A289,RaporTarihi-$A289))</f>
        <v/>
      </c>
      <c r="H289" s="18" t="n">
        <f aca="false">IF($F289="",0,ROUND($F289*$G289,0))</f>
        <v>0</v>
      </c>
      <c r="I289" s="18" t="n">
        <f aca="false">IF($H289="",0,ROUND($H289*AdatFaizOran/AdatYilGunSayisi,2))</f>
        <v>0</v>
      </c>
      <c r="J289" s="22"/>
    </row>
    <row r="290" customFormat="false" ht="15" hidden="false" customHeight="false" outlineLevel="0" collapsed="false">
      <c r="A290" s="21"/>
      <c r="B290" s="22"/>
      <c r="C290" s="22"/>
      <c r="D290" s="23"/>
      <c r="E290" s="20" t="str">
        <f aca="false">IF($A290="","",IF($C290="Borç",-$D290,$D290))</f>
        <v/>
      </c>
      <c r="F290" s="18" t="str">
        <f aca="false">IF($A290="","",IFERROR(IF(INDEX(tblOrtak[Ortak Adı],ROW($A290)-ROW(tblOrtak[[#Headers],[Tarih]])-1)=$B290,INDEX(tblOrtak[Bakiye (₺)],ROW($A290)-ROW(tblOrtak[[#Headers],[Tarih]])-1)+$E290,$E290),$E290))</f>
        <v/>
      </c>
      <c r="G290" s="19" t="str">
        <f aca="false">IF($A290="","",IFERROR(IF(INDEX(tblOrtak[Tarih],ROW($A290)-ROW(tblOrtak[[#Headers],[Tarih]])+1)=0,RaporTarihi,INDEX(tblOrtak[Tarih],ROW($A290)-ROW(tblOrtak[[#Headers],[Tarih]])+1))-$A290,RaporTarihi-$A290))</f>
        <v/>
      </c>
      <c r="H290" s="18" t="n">
        <f aca="false">IF($F290="",0,ROUND($F290*$G290,0))</f>
        <v>0</v>
      </c>
      <c r="I290" s="18" t="n">
        <f aca="false">IF($H290="",0,ROUND($H290*AdatFaizOran/AdatYilGunSayisi,2))</f>
        <v>0</v>
      </c>
      <c r="J290" s="22"/>
    </row>
    <row r="291" customFormat="false" ht="15" hidden="false" customHeight="false" outlineLevel="0" collapsed="false">
      <c r="A291" s="21"/>
      <c r="B291" s="22"/>
      <c r="C291" s="22"/>
      <c r="D291" s="23"/>
      <c r="E291" s="20" t="str">
        <f aca="false">IF($A291="","",IF($C291="Borç",-$D291,$D291))</f>
        <v/>
      </c>
      <c r="F291" s="18" t="str">
        <f aca="false">IF($A291="","",IFERROR(IF(INDEX(tblOrtak[Ortak Adı],ROW($A291)-ROW(tblOrtak[[#Headers],[Tarih]])-1)=$B291,INDEX(tblOrtak[Bakiye (₺)],ROW($A291)-ROW(tblOrtak[[#Headers],[Tarih]])-1)+$E291,$E291),$E291))</f>
        <v/>
      </c>
      <c r="G291" s="19" t="str">
        <f aca="false">IF($A291="","",IFERROR(IF(INDEX(tblOrtak[Tarih],ROW($A291)-ROW(tblOrtak[[#Headers],[Tarih]])+1)=0,RaporTarihi,INDEX(tblOrtak[Tarih],ROW($A291)-ROW(tblOrtak[[#Headers],[Tarih]])+1))-$A291,RaporTarihi-$A291))</f>
        <v/>
      </c>
      <c r="H291" s="18" t="n">
        <f aca="false">IF($F291="",0,ROUND($F291*$G291,0))</f>
        <v>0</v>
      </c>
      <c r="I291" s="18" t="n">
        <f aca="false">IF($H291="",0,ROUND($H291*AdatFaizOran/AdatYilGunSayisi,2))</f>
        <v>0</v>
      </c>
      <c r="J291" s="22"/>
    </row>
    <row r="292" customFormat="false" ht="15" hidden="false" customHeight="false" outlineLevel="0" collapsed="false">
      <c r="A292" s="21"/>
      <c r="B292" s="22"/>
      <c r="C292" s="22"/>
      <c r="D292" s="23"/>
      <c r="E292" s="20" t="str">
        <f aca="false">IF($A292="","",IF($C292="Borç",-$D292,$D292))</f>
        <v/>
      </c>
      <c r="F292" s="18" t="str">
        <f aca="false">IF($A292="","",IFERROR(IF(INDEX(tblOrtak[Ortak Adı],ROW($A292)-ROW(tblOrtak[[#Headers],[Tarih]])-1)=$B292,INDEX(tblOrtak[Bakiye (₺)],ROW($A292)-ROW(tblOrtak[[#Headers],[Tarih]])-1)+$E292,$E292),$E292))</f>
        <v/>
      </c>
      <c r="G292" s="19" t="str">
        <f aca="false">IF($A292="","",IFERROR(IF(INDEX(tblOrtak[Tarih],ROW($A292)-ROW(tblOrtak[[#Headers],[Tarih]])+1)=0,RaporTarihi,INDEX(tblOrtak[Tarih],ROW($A292)-ROW(tblOrtak[[#Headers],[Tarih]])+1))-$A292,RaporTarihi-$A292))</f>
        <v/>
      </c>
      <c r="H292" s="18" t="n">
        <f aca="false">IF($F292="",0,ROUND($F292*$G292,0))</f>
        <v>0</v>
      </c>
      <c r="I292" s="18" t="n">
        <f aca="false">IF($H292="",0,ROUND($H292*AdatFaizOran/AdatYilGunSayisi,2))</f>
        <v>0</v>
      </c>
      <c r="J292" s="22"/>
    </row>
    <row r="293" customFormat="false" ht="15" hidden="false" customHeight="false" outlineLevel="0" collapsed="false">
      <c r="A293" s="21"/>
      <c r="B293" s="22"/>
      <c r="C293" s="22"/>
      <c r="D293" s="23"/>
      <c r="E293" s="20" t="str">
        <f aca="false">IF($A293="","",IF($C293="Borç",-$D293,$D293))</f>
        <v/>
      </c>
      <c r="F293" s="18" t="str">
        <f aca="false">IF($A293="","",IFERROR(IF(INDEX(tblOrtak[Ortak Adı],ROW($A293)-ROW(tblOrtak[[#Headers],[Tarih]])-1)=$B293,INDEX(tblOrtak[Bakiye (₺)],ROW($A293)-ROW(tblOrtak[[#Headers],[Tarih]])-1)+$E293,$E293),$E293))</f>
        <v/>
      </c>
      <c r="G293" s="19" t="str">
        <f aca="false">IF($A293="","",IFERROR(IF(INDEX(tblOrtak[Tarih],ROW($A293)-ROW(tblOrtak[[#Headers],[Tarih]])+1)=0,RaporTarihi,INDEX(tblOrtak[Tarih],ROW($A293)-ROW(tblOrtak[[#Headers],[Tarih]])+1))-$A293,RaporTarihi-$A293))</f>
        <v/>
      </c>
      <c r="H293" s="18" t="n">
        <f aca="false">IF($F293="",0,ROUND($F293*$G293,0))</f>
        <v>0</v>
      </c>
      <c r="I293" s="18" t="n">
        <f aca="false">IF($H293="",0,ROUND($H293*AdatFaizOran/AdatYilGunSayisi,2))</f>
        <v>0</v>
      </c>
      <c r="J293" s="22"/>
    </row>
    <row r="294" customFormat="false" ht="15" hidden="false" customHeight="false" outlineLevel="0" collapsed="false">
      <c r="A294" s="21"/>
      <c r="B294" s="22"/>
      <c r="C294" s="22"/>
      <c r="D294" s="23"/>
      <c r="E294" s="20" t="str">
        <f aca="false">IF($A294="","",IF($C294="Borç",-$D294,$D294))</f>
        <v/>
      </c>
      <c r="F294" s="18" t="str">
        <f aca="false">IF($A294="","",IFERROR(IF(INDEX(tblOrtak[Ortak Adı],ROW($A294)-ROW(tblOrtak[[#Headers],[Tarih]])-1)=$B294,INDEX(tblOrtak[Bakiye (₺)],ROW($A294)-ROW(tblOrtak[[#Headers],[Tarih]])-1)+$E294,$E294),$E294))</f>
        <v/>
      </c>
      <c r="G294" s="19" t="str">
        <f aca="false">IF($A294="","",IFERROR(IF(INDEX(tblOrtak[Tarih],ROW($A294)-ROW(tblOrtak[[#Headers],[Tarih]])+1)=0,RaporTarihi,INDEX(tblOrtak[Tarih],ROW($A294)-ROW(tblOrtak[[#Headers],[Tarih]])+1))-$A294,RaporTarihi-$A294))</f>
        <v/>
      </c>
      <c r="H294" s="18" t="n">
        <f aca="false">IF($F294="",0,ROUND($F294*$G294,0))</f>
        <v>0</v>
      </c>
      <c r="I294" s="18" t="n">
        <f aca="false">IF($H294="",0,ROUND($H294*AdatFaizOran/AdatYilGunSayisi,2))</f>
        <v>0</v>
      </c>
      <c r="J294" s="22"/>
    </row>
    <row r="295" customFormat="false" ht="15" hidden="false" customHeight="false" outlineLevel="0" collapsed="false">
      <c r="A295" s="21"/>
      <c r="B295" s="22"/>
      <c r="C295" s="22"/>
      <c r="D295" s="23"/>
      <c r="E295" s="20" t="str">
        <f aca="false">IF($A295="","",IF($C295="Borç",-$D295,$D295))</f>
        <v/>
      </c>
      <c r="F295" s="18" t="str">
        <f aca="false">IF($A295="","",IFERROR(IF(INDEX(tblOrtak[Ortak Adı],ROW($A295)-ROW(tblOrtak[[#Headers],[Tarih]])-1)=$B295,INDEX(tblOrtak[Bakiye (₺)],ROW($A295)-ROW(tblOrtak[[#Headers],[Tarih]])-1)+$E295,$E295),$E295))</f>
        <v/>
      </c>
      <c r="G295" s="19" t="str">
        <f aca="false">IF($A295="","",IFERROR(IF(INDEX(tblOrtak[Tarih],ROW($A295)-ROW(tblOrtak[[#Headers],[Tarih]])+1)=0,RaporTarihi,INDEX(tblOrtak[Tarih],ROW($A295)-ROW(tblOrtak[[#Headers],[Tarih]])+1))-$A295,RaporTarihi-$A295))</f>
        <v/>
      </c>
      <c r="H295" s="18" t="n">
        <f aca="false">IF($F295="",0,ROUND($F295*$G295,0))</f>
        <v>0</v>
      </c>
      <c r="I295" s="18" t="n">
        <f aca="false">IF($H295="",0,ROUND($H295*AdatFaizOran/AdatYilGunSayisi,2))</f>
        <v>0</v>
      </c>
      <c r="J295" s="22"/>
    </row>
    <row r="296" customFormat="false" ht="15" hidden="false" customHeight="false" outlineLevel="0" collapsed="false">
      <c r="A296" s="21"/>
      <c r="B296" s="22"/>
      <c r="C296" s="22"/>
      <c r="D296" s="23"/>
      <c r="E296" s="20" t="str">
        <f aca="false">IF($A296="","",IF($C296="Borç",-$D296,$D296))</f>
        <v/>
      </c>
      <c r="F296" s="18" t="str">
        <f aca="false">IF($A296="","",IFERROR(IF(INDEX(tblOrtak[Ortak Adı],ROW($A296)-ROW(tblOrtak[[#Headers],[Tarih]])-1)=$B296,INDEX(tblOrtak[Bakiye (₺)],ROW($A296)-ROW(tblOrtak[[#Headers],[Tarih]])-1)+$E296,$E296),$E296))</f>
        <v/>
      </c>
      <c r="G296" s="19" t="str">
        <f aca="false">IF($A296="","",IFERROR(IF(INDEX(tblOrtak[Tarih],ROW($A296)-ROW(tblOrtak[[#Headers],[Tarih]])+1)=0,RaporTarihi,INDEX(tblOrtak[Tarih],ROW($A296)-ROW(tblOrtak[[#Headers],[Tarih]])+1))-$A296,RaporTarihi-$A296))</f>
        <v/>
      </c>
      <c r="H296" s="18" t="n">
        <f aca="false">IF($F296="",0,ROUND($F296*$G296,0))</f>
        <v>0</v>
      </c>
      <c r="I296" s="18" t="n">
        <f aca="false">IF($H296="",0,ROUND($H296*AdatFaizOran/AdatYilGunSayisi,2))</f>
        <v>0</v>
      </c>
      <c r="J296" s="22"/>
    </row>
    <row r="297" customFormat="false" ht="15" hidden="false" customHeight="false" outlineLevel="0" collapsed="false">
      <c r="A297" s="21"/>
      <c r="B297" s="22"/>
      <c r="C297" s="22"/>
      <c r="D297" s="23"/>
      <c r="E297" s="20" t="str">
        <f aca="false">IF($A297="","",IF($C297="Borç",-$D297,$D297))</f>
        <v/>
      </c>
      <c r="F297" s="18" t="str">
        <f aca="false">IF($A297="","",IFERROR(IF(INDEX(tblOrtak[Ortak Adı],ROW($A297)-ROW(tblOrtak[[#Headers],[Tarih]])-1)=$B297,INDEX(tblOrtak[Bakiye (₺)],ROW($A297)-ROW(tblOrtak[[#Headers],[Tarih]])-1)+$E297,$E297),$E297))</f>
        <v/>
      </c>
      <c r="G297" s="19" t="str">
        <f aca="false">IF($A297="","",IFERROR(IF(INDEX(tblOrtak[Tarih],ROW($A297)-ROW(tblOrtak[[#Headers],[Tarih]])+1)=0,RaporTarihi,INDEX(tblOrtak[Tarih],ROW($A297)-ROW(tblOrtak[[#Headers],[Tarih]])+1))-$A297,RaporTarihi-$A297))</f>
        <v/>
      </c>
      <c r="H297" s="18" t="n">
        <f aca="false">IF($F297="",0,ROUND($F297*$G297,0))</f>
        <v>0</v>
      </c>
      <c r="I297" s="18" t="n">
        <f aca="false">IF($H297="",0,ROUND($H297*AdatFaizOran/AdatYilGunSayisi,2))</f>
        <v>0</v>
      </c>
      <c r="J297" s="22"/>
    </row>
    <row r="298" customFormat="false" ht="15" hidden="false" customHeight="false" outlineLevel="0" collapsed="false">
      <c r="A298" s="21"/>
      <c r="B298" s="22"/>
      <c r="C298" s="22"/>
      <c r="D298" s="23"/>
      <c r="E298" s="20" t="str">
        <f aca="false">IF($A298="","",IF($C298="Borç",-$D298,$D298))</f>
        <v/>
      </c>
      <c r="F298" s="18" t="str">
        <f aca="false">IF($A298="","",IFERROR(IF(INDEX(tblOrtak[Ortak Adı],ROW($A298)-ROW(tblOrtak[[#Headers],[Tarih]])-1)=$B298,INDEX(tblOrtak[Bakiye (₺)],ROW($A298)-ROW(tblOrtak[[#Headers],[Tarih]])-1)+$E298,$E298),$E298))</f>
        <v/>
      </c>
      <c r="G298" s="19" t="str">
        <f aca="false">IF($A298="","",IFERROR(IF(INDEX(tblOrtak[Tarih],ROW($A298)-ROW(tblOrtak[[#Headers],[Tarih]])+1)=0,RaporTarihi,INDEX(tblOrtak[Tarih],ROW($A298)-ROW(tblOrtak[[#Headers],[Tarih]])+1))-$A298,RaporTarihi-$A298))</f>
        <v/>
      </c>
      <c r="H298" s="18" t="n">
        <f aca="false">IF($F298="",0,ROUND($F298*$G298,0))</f>
        <v>0</v>
      </c>
      <c r="I298" s="18" t="n">
        <f aca="false">IF($H298="",0,ROUND($H298*AdatFaizOran/AdatYilGunSayisi,2))</f>
        <v>0</v>
      </c>
      <c r="J298" s="22"/>
    </row>
    <row r="299" customFormat="false" ht="15" hidden="false" customHeight="false" outlineLevel="0" collapsed="false">
      <c r="A299" s="21"/>
      <c r="B299" s="22"/>
      <c r="C299" s="22"/>
      <c r="D299" s="23"/>
      <c r="E299" s="20" t="str">
        <f aca="false">IF($A299="","",IF($C299="Borç",-$D299,$D299))</f>
        <v/>
      </c>
      <c r="F299" s="18" t="str">
        <f aca="false">IF($A299="","",IFERROR(IF(INDEX(tblOrtak[Ortak Adı],ROW($A299)-ROW(tblOrtak[[#Headers],[Tarih]])-1)=$B299,INDEX(tblOrtak[Bakiye (₺)],ROW($A299)-ROW(tblOrtak[[#Headers],[Tarih]])-1)+$E299,$E299),$E299))</f>
        <v/>
      </c>
      <c r="G299" s="19" t="str">
        <f aca="false">IF($A299="","",IFERROR(IF(INDEX(tblOrtak[Tarih],ROW($A299)-ROW(tblOrtak[[#Headers],[Tarih]])+1)=0,RaporTarihi,INDEX(tblOrtak[Tarih],ROW($A299)-ROW(tblOrtak[[#Headers],[Tarih]])+1))-$A299,RaporTarihi-$A299))</f>
        <v/>
      </c>
      <c r="H299" s="18" t="n">
        <f aca="false">IF($F299="",0,ROUND($F299*$G299,0))</f>
        <v>0</v>
      </c>
      <c r="I299" s="18" t="n">
        <f aca="false">IF($H299="",0,ROUND($H299*AdatFaizOran/AdatYilGunSayisi,2))</f>
        <v>0</v>
      </c>
      <c r="J299" s="22"/>
    </row>
    <row r="300" customFormat="false" ht="15" hidden="false" customHeight="false" outlineLevel="0" collapsed="false">
      <c r="A300" s="21"/>
      <c r="B300" s="22"/>
      <c r="C300" s="22"/>
      <c r="D300" s="23"/>
      <c r="E300" s="20" t="str">
        <f aca="false">IF($A300="","",IF($C300="Borç",-$D300,$D300))</f>
        <v/>
      </c>
      <c r="F300" s="18" t="str">
        <f aca="false">IF($A300="","",IFERROR(IF(INDEX(tblOrtak[Ortak Adı],ROW($A300)-ROW(tblOrtak[[#Headers],[Tarih]])-1)=$B300,INDEX(tblOrtak[Bakiye (₺)],ROW($A300)-ROW(tblOrtak[[#Headers],[Tarih]])-1)+$E300,$E300),$E300))</f>
        <v/>
      </c>
      <c r="G300" s="19" t="str">
        <f aca="false">IF($A300="","",IFERROR(IF(INDEX(tblOrtak[Tarih],ROW($A300)-ROW(tblOrtak[[#Headers],[Tarih]])+1)=0,RaporTarihi,INDEX(tblOrtak[Tarih],ROW($A300)-ROW(tblOrtak[[#Headers],[Tarih]])+1))-$A300,RaporTarihi-$A300))</f>
        <v/>
      </c>
      <c r="H300" s="18" t="n">
        <f aca="false">IF($F300="",0,ROUND($F300*$G300,0))</f>
        <v>0</v>
      </c>
      <c r="I300" s="18" t="n">
        <f aca="false">IF($H300="",0,ROUND($H300*AdatFaizOran/AdatYilGunSayisi,2))</f>
        <v>0</v>
      </c>
      <c r="J300" s="22"/>
    </row>
    <row r="301" customFormat="false" ht="15" hidden="false" customHeight="false" outlineLevel="0" collapsed="false">
      <c r="A301" s="21"/>
      <c r="B301" s="22"/>
      <c r="C301" s="22"/>
      <c r="D301" s="23"/>
      <c r="E301" s="20" t="str">
        <f aca="false">IF($A301="","",IF($C301="Borç",-$D301,$D301))</f>
        <v/>
      </c>
      <c r="F301" s="18" t="str">
        <f aca="false">IF($A301="","",IFERROR(IF(INDEX(tblOrtak[Ortak Adı],ROW($A301)-ROW(tblOrtak[[#Headers],[Tarih]])-1)=$B301,INDEX(tblOrtak[Bakiye (₺)],ROW($A301)-ROW(tblOrtak[[#Headers],[Tarih]])-1)+$E301,$E301),$E301))</f>
        <v/>
      </c>
      <c r="G301" s="19" t="str">
        <f aca="false">IF($A301="","",IFERROR(IF(INDEX(tblOrtak[Tarih],ROW($A301)-ROW(tblOrtak[[#Headers],[Tarih]])+1)=0,RaporTarihi,INDEX(tblOrtak[Tarih],ROW($A301)-ROW(tblOrtak[[#Headers],[Tarih]])+1))-$A301,RaporTarihi-$A301))</f>
        <v/>
      </c>
      <c r="H301" s="18" t="n">
        <f aca="false">IF($F301="",0,ROUND($F301*$G301,0))</f>
        <v>0</v>
      </c>
      <c r="I301" s="18" t="n">
        <f aca="false">IF($H301="",0,ROUND($H301*AdatFaizOran/AdatYilGunSayisi,2))</f>
        <v>0</v>
      </c>
      <c r="J301" s="22"/>
    </row>
    <row r="302" customFormat="false" ht="15" hidden="false" customHeight="false" outlineLevel="0" collapsed="false">
      <c r="A302" s="21"/>
      <c r="B302" s="22"/>
      <c r="C302" s="22"/>
      <c r="D302" s="23"/>
      <c r="E302" s="20" t="str">
        <f aca="false">IF($A302="","",IF($C302="Borç",-$D302,$D302))</f>
        <v/>
      </c>
      <c r="F302" s="18" t="str">
        <f aca="false">IF($A302="","",IFERROR(IF(INDEX(tblOrtak[Ortak Adı],ROW($A302)-ROW(tblOrtak[[#Headers],[Tarih]])-1)=$B302,INDEX(tblOrtak[Bakiye (₺)],ROW($A302)-ROW(tblOrtak[[#Headers],[Tarih]])-1)+$E302,$E302),$E302))</f>
        <v/>
      </c>
      <c r="G302" s="19" t="str">
        <f aca="false">IF($A302="","",IFERROR(IF(INDEX(tblOrtak[Tarih],ROW($A302)-ROW(tblOrtak[[#Headers],[Tarih]])+1)=0,RaporTarihi,INDEX(tblOrtak[Tarih],ROW($A302)-ROW(tblOrtak[[#Headers],[Tarih]])+1))-$A302,RaporTarihi-$A302))</f>
        <v/>
      </c>
      <c r="H302" s="18" t="n">
        <f aca="false">IF($F302="",0,ROUND($F302*$G302,0))</f>
        <v>0</v>
      </c>
      <c r="I302" s="18" t="n">
        <f aca="false">IF($H302="",0,ROUND($H302*AdatFaizOran/AdatYilGunSayisi,2))</f>
        <v>0</v>
      </c>
      <c r="J302" s="22"/>
    </row>
    <row r="303" customFormat="false" ht="15" hidden="false" customHeight="false" outlineLevel="0" collapsed="false">
      <c r="A303" s="21"/>
      <c r="B303" s="22"/>
      <c r="C303" s="22"/>
      <c r="D303" s="23"/>
      <c r="E303" s="20" t="str">
        <f aca="false">IF($A303="","",IF($C303="Borç",-$D303,$D303))</f>
        <v/>
      </c>
      <c r="F303" s="18" t="str">
        <f aca="false">IF($A303="","",IFERROR(IF(INDEX(tblOrtak[Ortak Adı],ROW($A303)-ROW(tblOrtak[[#Headers],[Tarih]])-1)=$B303,INDEX(tblOrtak[Bakiye (₺)],ROW($A303)-ROW(tblOrtak[[#Headers],[Tarih]])-1)+$E303,$E303),$E303))</f>
        <v/>
      </c>
      <c r="G303" s="19" t="str">
        <f aca="false">IF($A303="","",IFERROR(IF(INDEX(tblOrtak[Tarih],ROW($A303)-ROW(tblOrtak[[#Headers],[Tarih]])+1)=0,RaporTarihi,INDEX(tblOrtak[Tarih],ROW($A303)-ROW(tblOrtak[[#Headers],[Tarih]])+1))-$A303,RaporTarihi-$A303))</f>
        <v/>
      </c>
      <c r="H303" s="18" t="n">
        <f aca="false">IF($F303="",0,ROUND($F303*$G303,0))</f>
        <v>0</v>
      </c>
      <c r="I303" s="18" t="n">
        <f aca="false">IF($H303="",0,ROUND($H303*AdatFaizOran/AdatYilGunSayisi,2))</f>
        <v>0</v>
      </c>
      <c r="J303" s="22"/>
    </row>
    <row r="304" customFormat="false" ht="15" hidden="false" customHeight="false" outlineLevel="0" collapsed="false">
      <c r="A304" s="21"/>
      <c r="B304" s="22"/>
      <c r="C304" s="22"/>
      <c r="D304" s="23"/>
      <c r="E304" s="20" t="str">
        <f aca="false">IF($A304="","",IF($C304="Borç",-$D304,$D304))</f>
        <v/>
      </c>
      <c r="F304" s="18" t="str">
        <f aca="false">IF($A304="","",IFERROR(IF(INDEX(tblOrtak[Ortak Adı],ROW($A304)-ROW(tblOrtak[[#Headers],[Tarih]])-1)=$B304,INDEX(tblOrtak[Bakiye (₺)],ROW($A304)-ROW(tblOrtak[[#Headers],[Tarih]])-1)+$E304,$E304),$E304))</f>
        <v/>
      </c>
      <c r="G304" s="19" t="str">
        <f aca="false">IF($A304="","",IFERROR(IF(INDEX(tblOrtak[Tarih],ROW($A304)-ROW(tblOrtak[[#Headers],[Tarih]])+1)=0,RaporTarihi,INDEX(tblOrtak[Tarih],ROW($A304)-ROW(tblOrtak[[#Headers],[Tarih]])+1))-$A304,RaporTarihi-$A304))</f>
        <v/>
      </c>
      <c r="H304" s="18" t="n">
        <f aca="false">IF($F304="",0,ROUND($F304*$G304,0))</f>
        <v>0</v>
      </c>
      <c r="I304" s="18" t="n">
        <f aca="false">IF($H304="",0,ROUND($H304*AdatFaizOran/AdatYilGunSayisi,2))</f>
        <v>0</v>
      </c>
      <c r="J304" s="22"/>
    </row>
    <row r="305" customFormat="false" ht="15" hidden="false" customHeight="false" outlineLevel="0" collapsed="false">
      <c r="A305" s="21"/>
      <c r="B305" s="22"/>
      <c r="C305" s="22"/>
      <c r="D305" s="23"/>
      <c r="E305" s="20" t="str">
        <f aca="false">IF($A305="","",IF($C305="Borç",-$D305,$D305))</f>
        <v/>
      </c>
      <c r="F305" s="18" t="str">
        <f aca="false">IF($A305="","",IFERROR(IF(INDEX(tblOrtak[Ortak Adı],ROW($A305)-ROW(tblOrtak[[#Headers],[Tarih]])-1)=$B305,INDEX(tblOrtak[Bakiye (₺)],ROW($A305)-ROW(tblOrtak[[#Headers],[Tarih]])-1)+$E305,$E305),$E305))</f>
        <v/>
      </c>
      <c r="G305" s="19" t="str">
        <f aca="false">IF($A305="","",IFERROR(IF(INDEX(tblOrtak[Tarih],ROW($A305)-ROW(tblOrtak[[#Headers],[Tarih]])+1)=0,RaporTarihi,INDEX(tblOrtak[Tarih],ROW($A305)-ROW(tblOrtak[[#Headers],[Tarih]])+1))-$A305,RaporTarihi-$A305))</f>
        <v/>
      </c>
      <c r="H305" s="18" t="n">
        <f aca="false">IF($F305="",0,ROUND($F305*$G305,0))</f>
        <v>0</v>
      </c>
      <c r="I305" s="18" t="n">
        <f aca="false">IF($H305="",0,ROUND($H305*AdatFaizOran/AdatYilGunSayisi,2))</f>
        <v>0</v>
      </c>
      <c r="J305" s="22"/>
    </row>
    <row r="306" customFormat="false" ht="15" hidden="false" customHeight="false" outlineLevel="0" collapsed="false">
      <c r="A306" s="21"/>
      <c r="B306" s="22"/>
      <c r="C306" s="22"/>
      <c r="D306" s="23"/>
      <c r="E306" s="20" t="str">
        <f aca="false">IF($A306="","",IF($C306="Borç",-$D306,$D306))</f>
        <v/>
      </c>
      <c r="F306" s="18" t="str">
        <f aca="false">IF($A306="","",IFERROR(IF(INDEX(tblOrtak[Ortak Adı],ROW($A306)-ROW(tblOrtak[[#Headers],[Tarih]])-1)=$B306,INDEX(tblOrtak[Bakiye (₺)],ROW($A306)-ROW(tblOrtak[[#Headers],[Tarih]])-1)+$E306,$E306),$E306))</f>
        <v/>
      </c>
      <c r="G306" s="19" t="str">
        <f aca="false">IF($A306="","",IFERROR(IF(INDEX(tblOrtak[Tarih],ROW($A306)-ROW(tblOrtak[[#Headers],[Tarih]])+1)=0,RaporTarihi,INDEX(tblOrtak[Tarih],ROW($A306)-ROW(tblOrtak[[#Headers],[Tarih]])+1))-$A306,RaporTarihi-$A306))</f>
        <v/>
      </c>
      <c r="H306" s="18" t="n">
        <f aca="false">IF($F306="",0,ROUND($F306*$G306,0))</f>
        <v>0</v>
      </c>
      <c r="I306" s="18" t="n">
        <f aca="false">IF($H306="",0,ROUND($H306*AdatFaizOran/AdatYilGunSayisi,2))</f>
        <v>0</v>
      </c>
      <c r="J306" s="22"/>
    </row>
    <row r="307" customFormat="false" ht="15" hidden="false" customHeight="false" outlineLevel="0" collapsed="false">
      <c r="A307" s="21"/>
      <c r="B307" s="22"/>
      <c r="C307" s="22"/>
      <c r="D307" s="23"/>
      <c r="E307" s="20" t="str">
        <f aca="false">IF($A307="","",IF($C307="Borç",-$D307,$D307))</f>
        <v/>
      </c>
      <c r="F307" s="18" t="str">
        <f aca="false">IF($A307="","",IFERROR(IF(INDEX(tblOrtak[Ortak Adı],ROW($A307)-ROW(tblOrtak[[#Headers],[Tarih]])-1)=$B307,INDEX(tblOrtak[Bakiye (₺)],ROW($A307)-ROW(tblOrtak[[#Headers],[Tarih]])-1)+$E307,$E307),$E307))</f>
        <v/>
      </c>
      <c r="G307" s="19" t="str">
        <f aca="false">IF($A307="","",IFERROR(IF(INDEX(tblOrtak[Tarih],ROW($A307)-ROW(tblOrtak[[#Headers],[Tarih]])+1)=0,RaporTarihi,INDEX(tblOrtak[Tarih],ROW($A307)-ROW(tblOrtak[[#Headers],[Tarih]])+1))-$A307,RaporTarihi-$A307))</f>
        <v/>
      </c>
      <c r="H307" s="18" t="n">
        <f aca="false">IF($F307="",0,ROUND($F307*$G307,0))</f>
        <v>0</v>
      </c>
      <c r="I307" s="18" t="n">
        <f aca="false">IF($H307="",0,ROUND($H307*AdatFaizOran/AdatYilGunSayisi,2))</f>
        <v>0</v>
      </c>
      <c r="J307" s="22"/>
    </row>
    <row r="308" customFormat="false" ht="15" hidden="false" customHeight="false" outlineLevel="0" collapsed="false">
      <c r="A308" s="21"/>
      <c r="B308" s="22"/>
      <c r="C308" s="22"/>
      <c r="D308" s="23"/>
      <c r="E308" s="20" t="str">
        <f aca="false">IF($A308="","",IF($C308="Borç",-$D308,$D308))</f>
        <v/>
      </c>
      <c r="F308" s="18" t="str">
        <f aca="false">IF($A308="","",IFERROR(IF(INDEX(tblOrtak[Ortak Adı],ROW($A308)-ROW(tblOrtak[[#Headers],[Tarih]])-1)=$B308,INDEX(tblOrtak[Bakiye (₺)],ROW($A308)-ROW(tblOrtak[[#Headers],[Tarih]])-1)+$E308,$E308),$E308))</f>
        <v/>
      </c>
      <c r="G308" s="19" t="str">
        <f aca="false">IF($A308="","",IFERROR(IF(INDEX(tblOrtak[Tarih],ROW($A308)-ROW(tblOrtak[[#Headers],[Tarih]])+1)=0,RaporTarihi,INDEX(tblOrtak[Tarih],ROW($A308)-ROW(tblOrtak[[#Headers],[Tarih]])+1))-$A308,RaporTarihi-$A308))</f>
        <v/>
      </c>
      <c r="H308" s="18" t="n">
        <f aca="false">IF($F308="",0,ROUND($F308*$G308,0))</f>
        <v>0</v>
      </c>
      <c r="I308" s="18" t="n">
        <f aca="false">IF($H308="",0,ROUND($H308*AdatFaizOran/AdatYilGunSayisi,2))</f>
        <v>0</v>
      </c>
      <c r="J308" s="22"/>
    </row>
    <row r="309" customFormat="false" ht="15" hidden="false" customHeight="false" outlineLevel="0" collapsed="false">
      <c r="A309" s="21"/>
      <c r="B309" s="22"/>
      <c r="C309" s="22"/>
      <c r="D309" s="23"/>
      <c r="E309" s="20" t="str">
        <f aca="false">IF($A309="","",IF($C309="Borç",-$D309,$D309))</f>
        <v/>
      </c>
      <c r="F309" s="18" t="str">
        <f aca="false">IF($A309="","",IFERROR(IF(INDEX(tblOrtak[Ortak Adı],ROW($A309)-ROW(tblOrtak[[#Headers],[Tarih]])-1)=$B309,INDEX(tblOrtak[Bakiye (₺)],ROW($A309)-ROW(tblOrtak[[#Headers],[Tarih]])-1)+$E309,$E309),$E309))</f>
        <v/>
      </c>
      <c r="G309" s="19" t="str">
        <f aca="false">IF($A309="","",IFERROR(IF(INDEX(tblOrtak[Tarih],ROW($A309)-ROW(tblOrtak[[#Headers],[Tarih]])+1)=0,RaporTarihi,INDEX(tblOrtak[Tarih],ROW($A309)-ROW(tblOrtak[[#Headers],[Tarih]])+1))-$A309,RaporTarihi-$A309))</f>
        <v/>
      </c>
      <c r="H309" s="18" t="n">
        <f aca="false">IF($F309="",0,ROUND($F309*$G309,0))</f>
        <v>0</v>
      </c>
      <c r="I309" s="18" t="n">
        <f aca="false">IF($H309="",0,ROUND($H309*AdatFaizOran/AdatYilGunSayisi,2))</f>
        <v>0</v>
      </c>
      <c r="J309" s="22"/>
    </row>
    <row r="310" customFormat="false" ht="15" hidden="false" customHeight="false" outlineLevel="0" collapsed="false">
      <c r="A310" s="21"/>
      <c r="B310" s="22"/>
      <c r="C310" s="22"/>
      <c r="D310" s="23"/>
      <c r="E310" s="20" t="str">
        <f aca="false">IF($A310="","",IF($C310="Borç",-$D310,$D310))</f>
        <v/>
      </c>
      <c r="F310" s="18" t="str">
        <f aca="false">IF($A310="","",IFERROR(IF(INDEX(tblOrtak[Ortak Adı],ROW($A310)-ROW(tblOrtak[[#Headers],[Tarih]])-1)=$B310,INDEX(tblOrtak[Bakiye (₺)],ROW($A310)-ROW(tblOrtak[[#Headers],[Tarih]])-1)+$E310,$E310),$E310))</f>
        <v/>
      </c>
      <c r="G310" s="19" t="str">
        <f aca="false">IF($A310="","",IFERROR(IF(INDEX(tblOrtak[Tarih],ROW($A310)-ROW(tblOrtak[[#Headers],[Tarih]])+1)=0,RaporTarihi,INDEX(tblOrtak[Tarih],ROW($A310)-ROW(tblOrtak[[#Headers],[Tarih]])+1))-$A310,RaporTarihi-$A310))</f>
        <v/>
      </c>
      <c r="H310" s="18" t="n">
        <f aca="false">IF($F310="",0,ROUND($F310*$G310,0))</f>
        <v>0</v>
      </c>
      <c r="I310" s="18" t="n">
        <f aca="false">IF($H310="",0,ROUND($H310*AdatFaizOran/AdatYilGunSayisi,2))</f>
        <v>0</v>
      </c>
      <c r="J310" s="22"/>
    </row>
    <row r="311" customFormat="false" ht="15" hidden="false" customHeight="false" outlineLevel="0" collapsed="false">
      <c r="A311" s="21"/>
      <c r="B311" s="22"/>
      <c r="C311" s="22"/>
      <c r="D311" s="23"/>
      <c r="E311" s="20" t="str">
        <f aca="false">IF($A311="","",IF($C311="Borç",-$D311,$D311))</f>
        <v/>
      </c>
      <c r="F311" s="18" t="str">
        <f aca="false">IF($A311="","",IFERROR(IF(INDEX(tblOrtak[Ortak Adı],ROW($A311)-ROW(tblOrtak[[#Headers],[Tarih]])-1)=$B311,INDEX(tblOrtak[Bakiye (₺)],ROW($A311)-ROW(tblOrtak[[#Headers],[Tarih]])-1)+$E311,$E311),$E311))</f>
        <v/>
      </c>
      <c r="G311" s="19" t="str">
        <f aca="false">IF($A311="","",IFERROR(IF(INDEX(tblOrtak[Tarih],ROW($A311)-ROW(tblOrtak[[#Headers],[Tarih]])+1)=0,RaporTarihi,INDEX(tblOrtak[Tarih],ROW($A311)-ROW(tblOrtak[[#Headers],[Tarih]])+1))-$A311,RaporTarihi-$A311))</f>
        <v/>
      </c>
      <c r="H311" s="18" t="n">
        <f aca="false">IF($F311="",0,ROUND($F311*$G311,0))</f>
        <v>0</v>
      </c>
      <c r="I311" s="18" t="n">
        <f aca="false">IF($H311="",0,ROUND($H311*AdatFaizOran/AdatYilGunSayisi,2))</f>
        <v>0</v>
      </c>
      <c r="J311" s="22"/>
    </row>
    <row r="312" customFormat="false" ht="15" hidden="false" customHeight="false" outlineLevel="0" collapsed="false">
      <c r="A312" s="21"/>
      <c r="B312" s="22"/>
      <c r="C312" s="22"/>
      <c r="D312" s="23"/>
      <c r="E312" s="20" t="str">
        <f aca="false">IF($A312="","",IF($C312="Borç",-$D312,$D312))</f>
        <v/>
      </c>
      <c r="F312" s="18" t="str">
        <f aca="false">IF($A312="","",IFERROR(IF(INDEX(tblOrtak[Ortak Adı],ROW($A312)-ROW(tblOrtak[[#Headers],[Tarih]])-1)=$B312,INDEX(tblOrtak[Bakiye (₺)],ROW($A312)-ROW(tblOrtak[[#Headers],[Tarih]])-1)+$E312,$E312),$E312))</f>
        <v/>
      </c>
      <c r="G312" s="19" t="str">
        <f aca="false">IF($A312="","",IFERROR(IF(INDEX(tblOrtak[Tarih],ROW($A312)-ROW(tblOrtak[[#Headers],[Tarih]])+1)=0,RaporTarihi,INDEX(tblOrtak[Tarih],ROW($A312)-ROW(tblOrtak[[#Headers],[Tarih]])+1))-$A312,RaporTarihi-$A312))</f>
        <v/>
      </c>
      <c r="H312" s="18" t="n">
        <f aca="false">IF($F312="",0,ROUND($F312*$G312,0))</f>
        <v>0</v>
      </c>
      <c r="I312" s="18" t="n">
        <f aca="false">IF($H312="",0,ROUND($H312*AdatFaizOran/AdatYilGunSayisi,2))</f>
        <v>0</v>
      </c>
      <c r="J312" s="22"/>
    </row>
    <row r="313" customFormat="false" ht="15" hidden="false" customHeight="false" outlineLevel="0" collapsed="false">
      <c r="A313" s="21"/>
      <c r="B313" s="22"/>
      <c r="C313" s="22"/>
      <c r="D313" s="23"/>
      <c r="E313" s="20" t="str">
        <f aca="false">IF($A313="","",IF($C313="Borç",-$D313,$D313))</f>
        <v/>
      </c>
      <c r="F313" s="18" t="str">
        <f aca="false">IF($A313="","",IFERROR(IF(INDEX(tblOrtak[Ortak Adı],ROW($A313)-ROW(tblOrtak[[#Headers],[Tarih]])-1)=$B313,INDEX(tblOrtak[Bakiye (₺)],ROW($A313)-ROW(tblOrtak[[#Headers],[Tarih]])-1)+$E313,$E313),$E313))</f>
        <v/>
      </c>
      <c r="G313" s="19" t="str">
        <f aca="false">IF($A313="","",IFERROR(IF(INDEX(tblOrtak[Tarih],ROW($A313)-ROW(tblOrtak[[#Headers],[Tarih]])+1)=0,RaporTarihi,INDEX(tblOrtak[Tarih],ROW($A313)-ROW(tblOrtak[[#Headers],[Tarih]])+1))-$A313,RaporTarihi-$A313))</f>
        <v/>
      </c>
      <c r="H313" s="18" t="n">
        <f aca="false">IF($F313="",0,ROUND($F313*$G313,0))</f>
        <v>0</v>
      </c>
      <c r="I313" s="18" t="n">
        <f aca="false">IF($H313="",0,ROUND($H313*AdatFaizOran/AdatYilGunSayisi,2))</f>
        <v>0</v>
      </c>
      <c r="J313" s="22"/>
    </row>
    <row r="314" customFormat="false" ht="15" hidden="false" customHeight="false" outlineLevel="0" collapsed="false">
      <c r="A314" s="21"/>
      <c r="B314" s="22"/>
      <c r="C314" s="22"/>
      <c r="D314" s="23"/>
      <c r="E314" s="20" t="str">
        <f aca="false">IF($A314="","",IF($C314="Borç",-$D314,$D314))</f>
        <v/>
      </c>
      <c r="F314" s="18" t="str">
        <f aca="false">IF($A314="","",IFERROR(IF(INDEX(tblOrtak[Ortak Adı],ROW($A314)-ROW(tblOrtak[[#Headers],[Tarih]])-1)=$B314,INDEX(tblOrtak[Bakiye (₺)],ROW($A314)-ROW(tblOrtak[[#Headers],[Tarih]])-1)+$E314,$E314),$E314))</f>
        <v/>
      </c>
      <c r="G314" s="19" t="str">
        <f aca="false">IF($A314="","",IFERROR(IF(INDEX(tblOrtak[Tarih],ROW($A314)-ROW(tblOrtak[[#Headers],[Tarih]])+1)=0,RaporTarihi,INDEX(tblOrtak[Tarih],ROW($A314)-ROW(tblOrtak[[#Headers],[Tarih]])+1))-$A314,RaporTarihi-$A314))</f>
        <v/>
      </c>
      <c r="H314" s="18" t="n">
        <f aca="false">IF($F314="",0,ROUND($F314*$G314,0))</f>
        <v>0</v>
      </c>
      <c r="I314" s="18" t="n">
        <f aca="false">IF($H314="",0,ROUND($H314*AdatFaizOran/AdatYilGunSayisi,2))</f>
        <v>0</v>
      </c>
      <c r="J314" s="22"/>
    </row>
    <row r="315" customFormat="false" ht="15" hidden="false" customHeight="false" outlineLevel="0" collapsed="false">
      <c r="A315" s="21"/>
      <c r="B315" s="22"/>
      <c r="C315" s="22"/>
      <c r="D315" s="23"/>
      <c r="E315" s="20" t="str">
        <f aca="false">IF($A315="","",IF($C315="Borç",-$D315,$D315))</f>
        <v/>
      </c>
      <c r="F315" s="18" t="str">
        <f aca="false">IF($A315="","",IFERROR(IF(INDEX(tblOrtak[Ortak Adı],ROW($A315)-ROW(tblOrtak[[#Headers],[Tarih]])-1)=$B315,INDEX(tblOrtak[Bakiye (₺)],ROW($A315)-ROW(tblOrtak[[#Headers],[Tarih]])-1)+$E315,$E315),$E315))</f>
        <v/>
      </c>
      <c r="G315" s="19" t="str">
        <f aca="false">IF($A315="","",IFERROR(IF(INDEX(tblOrtak[Tarih],ROW($A315)-ROW(tblOrtak[[#Headers],[Tarih]])+1)=0,RaporTarihi,INDEX(tblOrtak[Tarih],ROW($A315)-ROW(tblOrtak[[#Headers],[Tarih]])+1))-$A315,RaporTarihi-$A315))</f>
        <v/>
      </c>
      <c r="H315" s="18" t="n">
        <f aca="false">IF($F315="",0,ROUND($F315*$G315,0))</f>
        <v>0</v>
      </c>
      <c r="I315" s="18" t="n">
        <f aca="false">IF($H315="",0,ROUND($H315*AdatFaizOran/AdatYilGunSayisi,2))</f>
        <v>0</v>
      </c>
      <c r="J315" s="22"/>
    </row>
    <row r="316" customFormat="false" ht="15" hidden="false" customHeight="false" outlineLevel="0" collapsed="false">
      <c r="A316" s="21"/>
      <c r="B316" s="22"/>
      <c r="C316" s="22"/>
      <c r="D316" s="23"/>
      <c r="E316" s="20" t="str">
        <f aca="false">IF($A316="","",IF($C316="Borç",-$D316,$D316))</f>
        <v/>
      </c>
      <c r="F316" s="18" t="str">
        <f aca="false">IF($A316="","",IFERROR(IF(INDEX(tblOrtak[Ortak Adı],ROW($A316)-ROW(tblOrtak[[#Headers],[Tarih]])-1)=$B316,INDEX(tblOrtak[Bakiye (₺)],ROW($A316)-ROW(tblOrtak[[#Headers],[Tarih]])-1)+$E316,$E316),$E316))</f>
        <v/>
      </c>
      <c r="G316" s="19" t="str">
        <f aca="false">IF($A316="","",IFERROR(IF(INDEX(tblOrtak[Tarih],ROW($A316)-ROW(tblOrtak[[#Headers],[Tarih]])+1)=0,RaporTarihi,INDEX(tblOrtak[Tarih],ROW($A316)-ROW(tblOrtak[[#Headers],[Tarih]])+1))-$A316,RaporTarihi-$A316))</f>
        <v/>
      </c>
      <c r="H316" s="18" t="n">
        <f aca="false">IF($F316="",0,ROUND($F316*$G316,0))</f>
        <v>0</v>
      </c>
      <c r="I316" s="18" t="n">
        <f aca="false">IF($H316="",0,ROUND($H316*AdatFaizOran/AdatYilGunSayisi,2))</f>
        <v>0</v>
      </c>
      <c r="J316" s="22"/>
    </row>
    <row r="317" customFormat="false" ht="15" hidden="false" customHeight="false" outlineLevel="0" collapsed="false">
      <c r="A317" s="21"/>
      <c r="B317" s="22"/>
      <c r="C317" s="22"/>
      <c r="D317" s="23"/>
      <c r="E317" s="20" t="str">
        <f aca="false">IF($A317="","",IF($C317="Borç",-$D317,$D317))</f>
        <v/>
      </c>
      <c r="F317" s="18" t="str">
        <f aca="false">IF($A317="","",IFERROR(IF(INDEX(tblOrtak[Ortak Adı],ROW($A317)-ROW(tblOrtak[[#Headers],[Tarih]])-1)=$B317,INDEX(tblOrtak[Bakiye (₺)],ROW($A317)-ROW(tblOrtak[[#Headers],[Tarih]])-1)+$E317,$E317),$E317))</f>
        <v/>
      </c>
      <c r="G317" s="19" t="str">
        <f aca="false">IF($A317="","",IFERROR(IF(INDEX(tblOrtak[Tarih],ROW($A317)-ROW(tblOrtak[[#Headers],[Tarih]])+1)=0,RaporTarihi,INDEX(tblOrtak[Tarih],ROW($A317)-ROW(tblOrtak[[#Headers],[Tarih]])+1))-$A317,RaporTarihi-$A317))</f>
        <v/>
      </c>
      <c r="H317" s="18" t="n">
        <f aca="false">IF($F317="",0,ROUND($F317*$G317,0))</f>
        <v>0</v>
      </c>
      <c r="I317" s="18" t="n">
        <f aca="false">IF($H317="",0,ROUND($H317*AdatFaizOran/AdatYilGunSayisi,2))</f>
        <v>0</v>
      </c>
      <c r="J317" s="22"/>
    </row>
    <row r="318" customFormat="false" ht="15" hidden="false" customHeight="false" outlineLevel="0" collapsed="false">
      <c r="A318" s="21"/>
      <c r="B318" s="22"/>
      <c r="C318" s="22"/>
      <c r="D318" s="23"/>
      <c r="E318" s="20" t="str">
        <f aca="false">IF($A318="","",IF($C318="Borç",-$D318,$D318))</f>
        <v/>
      </c>
      <c r="F318" s="18" t="str">
        <f aca="false">IF($A318="","",IFERROR(IF(INDEX(tblOrtak[Ortak Adı],ROW($A318)-ROW(tblOrtak[[#Headers],[Tarih]])-1)=$B318,INDEX(tblOrtak[Bakiye (₺)],ROW($A318)-ROW(tblOrtak[[#Headers],[Tarih]])-1)+$E318,$E318),$E318))</f>
        <v/>
      </c>
      <c r="G318" s="19" t="str">
        <f aca="false">IF($A318="","",IFERROR(IF(INDEX(tblOrtak[Tarih],ROW($A318)-ROW(tblOrtak[[#Headers],[Tarih]])+1)=0,RaporTarihi,INDEX(tblOrtak[Tarih],ROW($A318)-ROW(tblOrtak[[#Headers],[Tarih]])+1))-$A318,RaporTarihi-$A318))</f>
        <v/>
      </c>
      <c r="H318" s="18" t="n">
        <f aca="false">IF($F318="",0,ROUND($F318*$G318,0))</f>
        <v>0</v>
      </c>
      <c r="I318" s="18" t="n">
        <f aca="false">IF($H318="",0,ROUND($H318*AdatFaizOran/AdatYilGunSayisi,2))</f>
        <v>0</v>
      </c>
      <c r="J318" s="22"/>
    </row>
    <row r="319" customFormat="false" ht="15" hidden="false" customHeight="false" outlineLevel="0" collapsed="false">
      <c r="A319" s="21"/>
      <c r="B319" s="22"/>
      <c r="C319" s="22"/>
      <c r="D319" s="23"/>
      <c r="E319" s="20" t="str">
        <f aca="false">IF($A319="","",IF($C319="Borç",-$D319,$D319))</f>
        <v/>
      </c>
      <c r="F319" s="18" t="str">
        <f aca="false">IF($A319="","",IFERROR(IF(INDEX(tblOrtak[Ortak Adı],ROW($A319)-ROW(tblOrtak[[#Headers],[Tarih]])-1)=$B319,INDEX(tblOrtak[Bakiye (₺)],ROW($A319)-ROW(tblOrtak[[#Headers],[Tarih]])-1)+$E319,$E319),$E319))</f>
        <v/>
      </c>
      <c r="G319" s="19" t="str">
        <f aca="false">IF($A319="","",IFERROR(IF(INDEX(tblOrtak[Tarih],ROW($A319)-ROW(tblOrtak[[#Headers],[Tarih]])+1)=0,RaporTarihi,INDEX(tblOrtak[Tarih],ROW($A319)-ROW(tblOrtak[[#Headers],[Tarih]])+1))-$A319,RaporTarihi-$A319))</f>
        <v/>
      </c>
      <c r="H319" s="18" t="n">
        <f aca="false">IF($F319="",0,ROUND($F319*$G319,0))</f>
        <v>0</v>
      </c>
      <c r="I319" s="18" t="n">
        <f aca="false">IF($H319="",0,ROUND($H319*AdatFaizOran/AdatYilGunSayisi,2))</f>
        <v>0</v>
      </c>
      <c r="J319" s="22"/>
    </row>
    <row r="320" customFormat="false" ht="15" hidden="false" customHeight="false" outlineLevel="0" collapsed="false">
      <c r="A320" s="21"/>
      <c r="B320" s="22"/>
      <c r="C320" s="22"/>
      <c r="D320" s="23"/>
      <c r="E320" s="20" t="str">
        <f aca="false">IF($A320="","",IF($C320="Borç",-$D320,$D320))</f>
        <v/>
      </c>
      <c r="F320" s="18" t="str">
        <f aca="false">IF($A320="","",IFERROR(IF(INDEX(tblOrtak[Ortak Adı],ROW($A320)-ROW(tblOrtak[[#Headers],[Tarih]])-1)=$B320,INDEX(tblOrtak[Bakiye (₺)],ROW($A320)-ROW(tblOrtak[[#Headers],[Tarih]])-1)+$E320,$E320),$E320))</f>
        <v/>
      </c>
      <c r="G320" s="19" t="str">
        <f aca="false">IF($A320="","",IFERROR(IF(INDEX(tblOrtak[Tarih],ROW($A320)-ROW(tblOrtak[[#Headers],[Tarih]])+1)=0,RaporTarihi,INDEX(tblOrtak[Tarih],ROW($A320)-ROW(tblOrtak[[#Headers],[Tarih]])+1))-$A320,RaporTarihi-$A320))</f>
        <v/>
      </c>
      <c r="H320" s="18" t="n">
        <f aca="false">IF($F320="",0,ROUND($F320*$G320,0))</f>
        <v>0</v>
      </c>
      <c r="I320" s="18" t="n">
        <f aca="false">IF($H320="",0,ROUND($H320*AdatFaizOran/AdatYilGunSayisi,2))</f>
        <v>0</v>
      </c>
      <c r="J320" s="22"/>
    </row>
    <row r="321" customFormat="false" ht="15" hidden="false" customHeight="false" outlineLevel="0" collapsed="false">
      <c r="A321" s="21"/>
      <c r="B321" s="22"/>
      <c r="C321" s="22"/>
      <c r="D321" s="23"/>
      <c r="E321" s="20" t="str">
        <f aca="false">IF($A321="","",IF($C321="Borç",-$D321,$D321))</f>
        <v/>
      </c>
      <c r="F321" s="18" t="str">
        <f aca="false">IF($A321="","",IFERROR(IF(INDEX(tblOrtak[Ortak Adı],ROW($A321)-ROW(tblOrtak[[#Headers],[Tarih]])-1)=$B321,INDEX(tblOrtak[Bakiye (₺)],ROW($A321)-ROW(tblOrtak[[#Headers],[Tarih]])-1)+$E321,$E321),$E321))</f>
        <v/>
      </c>
      <c r="G321" s="19" t="str">
        <f aca="false">IF($A321="","",IFERROR(IF(INDEX(tblOrtak[Tarih],ROW($A321)-ROW(tblOrtak[[#Headers],[Tarih]])+1)=0,RaporTarihi,INDEX(tblOrtak[Tarih],ROW($A321)-ROW(tblOrtak[[#Headers],[Tarih]])+1))-$A321,RaporTarihi-$A321))</f>
        <v/>
      </c>
      <c r="H321" s="18" t="n">
        <f aca="false">IF($F321="",0,ROUND($F321*$G321,0))</f>
        <v>0</v>
      </c>
      <c r="I321" s="18" t="n">
        <f aca="false">IF($H321="",0,ROUND($H321*AdatFaizOran/AdatYilGunSayisi,2))</f>
        <v>0</v>
      </c>
      <c r="J321" s="22"/>
    </row>
    <row r="322" customFormat="false" ht="15" hidden="false" customHeight="false" outlineLevel="0" collapsed="false">
      <c r="A322" s="21"/>
      <c r="B322" s="22"/>
      <c r="C322" s="22"/>
      <c r="D322" s="23"/>
      <c r="E322" s="20" t="str">
        <f aca="false">IF($A322="","",IF($C322="Borç",-$D322,$D322))</f>
        <v/>
      </c>
      <c r="F322" s="18" t="str">
        <f aca="false">IF($A322="","",IFERROR(IF(INDEX(tblOrtak[Ortak Adı],ROW($A322)-ROW(tblOrtak[[#Headers],[Tarih]])-1)=$B322,INDEX(tblOrtak[Bakiye (₺)],ROW($A322)-ROW(tblOrtak[[#Headers],[Tarih]])-1)+$E322,$E322),$E322))</f>
        <v/>
      </c>
      <c r="G322" s="19" t="str">
        <f aca="false">IF($A322="","",IFERROR(IF(INDEX(tblOrtak[Tarih],ROW($A322)-ROW(tblOrtak[[#Headers],[Tarih]])+1)=0,RaporTarihi,INDEX(tblOrtak[Tarih],ROW($A322)-ROW(tblOrtak[[#Headers],[Tarih]])+1))-$A322,RaporTarihi-$A322))</f>
        <v/>
      </c>
      <c r="H322" s="18" t="n">
        <f aca="false">IF($F322="",0,ROUND($F322*$G322,0))</f>
        <v>0</v>
      </c>
      <c r="I322" s="18" t="n">
        <f aca="false">IF($H322="",0,ROUND($H322*AdatFaizOran/AdatYilGunSayisi,2))</f>
        <v>0</v>
      </c>
      <c r="J322" s="22"/>
    </row>
    <row r="323" customFormat="false" ht="15" hidden="false" customHeight="false" outlineLevel="0" collapsed="false">
      <c r="A323" s="21"/>
      <c r="B323" s="22"/>
      <c r="C323" s="22"/>
      <c r="D323" s="23"/>
      <c r="E323" s="20" t="str">
        <f aca="false">IF($A323="","",IF($C323="Borç",-$D323,$D323))</f>
        <v/>
      </c>
      <c r="F323" s="18" t="str">
        <f aca="false">IF($A323="","",IFERROR(IF(INDEX(tblOrtak[Ortak Adı],ROW($A323)-ROW(tblOrtak[[#Headers],[Tarih]])-1)=$B323,INDEX(tblOrtak[Bakiye (₺)],ROW($A323)-ROW(tblOrtak[[#Headers],[Tarih]])-1)+$E323,$E323),$E323))</f>
        <v/>
      </c>
      <c r="G323" s="19" t="str">
        <f aca="false">IF($A323="","",IFERROR(IF(INDEX(tblOrtak[Tarih],ROW($A323)-ROW(tblOrtak[[#Headers],[Tarih]])+1)=0,RaporTarihi,INDEX(tblOrtak[Tarih],ROW($A323)-ROW(tblOrtak[[#Headers],[Tarih]])+1))-$A323,RaporTarihi-$A323))</f>
        <v/>
      </c>
      <c r="H323" s="18" t="n">
        <f aca="false">IF($F323="",0,ROUND($F323*$G323,0))</f>
        <v>0</v>
      </c>
      <c r="I323" s="18" t="n">
        <f aca="false">IF($H323="",0,ROUND($H323*AdatFaizOran/AdatYilGunSayisi,2))</f>
        <v>0</v>
      </c>
      <c r="J323" s="22"/>
    </row>
    <row r="324" customFormat="false" ht="15" hidden="false" customHeight="false" outlineLevel="0" collapsed="false">
      <c r="A324" s="21"/>
      <c r="B324" s="22"/>
      <c r="C324" s="22"/>
      <c r="D324" s="23"/>
      <c r="E324" s="20" t="str">
        <f aca="false">IF($A324="","",IF($C324="Borç",-$D324,$D324))</f>
        <v/>
      </c>
      <c r="F324" s="18" t="str">
        <f aca="false">IF($A324="","",IFERROR(IF(INDEX(tblOrtak[Ortak Adı],ROW($A324)-ROW(tblOrtak[[#Headers],[Tarih]])-1)=$B324,INDEX(tblOrtak[Bakiye (₺)],ROW($A324)-ROW(tblOrtak[[#Headers],[Tarih]])-1)+$E324,$E324),$E324))</f>
        <v/>
      </c>
      <c r="G324" s="19" t="str">
        <f aca="false">IF($A324="","",IFERROR(IF(INDEX(tblOrtak[Tarih],ROW($A324)-ROW(tblOrtak[[#Headers],[Tarih]])+1)=0,RaporTarihi,INDEX(tblOrtak[Tarih],ROW($A324)-ROW(tblOrtak[[#Headers],[Tarih]])+1))-$A324,RaporTarihi-$A324))</f>
        <v/>
      </c>
      <c r="H324" s="18" t="n">
        <f aca="false">IF($F324="",0,ROUND($F324*$G324,0))</f>
        <v>0</v>
      </c>
      <c r="I324" s="18" t="n">
        <f aca="false">IF($H324="",0,ROUND($H324*AdatFaizOran/AdatYilGunSayisi,2))</f>
        <v>0</v>
      </c>
      <c r="J324" s="22"/>
    </row>
    <row r="325" customFormat="false" ht="15" hidden="false" customHeight="false" outlineLevel="0" collapsed="false">
      <c r="A325" s="21"/>
      <c r="B325" s="22"/>
      <c r="C325" s="22"/>
      <c r="D325" s="23"/>
      <c r="E325" s="20" t="str">
        <f aca="false">IF($A325="","",IF($C325="Borç",-$D325,$D325))</f>
        <v/>
      </c>
      <c r="F325" s="18" t="str">
        <f aca="false">IF($A325="","",IFERROR(IF(INDEX(tblOrtak[Ortak Adı],ROW($A325)-ROW(tblOrtak[[#Headers],[Tarih]])-1)=$B325,INDEX(tblOrtak[Bakiye (₺)],ROW($A325)-ROW(tblOrtak[[#Headers],[Tarih]])-1)+$E325,$E325),$E325))</f>
        <v/>
      </c>
      <c r="G325" s="19" t="str">
        <f aca="false">IF($A325="","",IFERROR(IF(INDEX(tblOrtak[Tarih],ROW($A325)-ROW(tblOrtak[[#Headers],[Tarih]])+1)=0,RaporTarihi,INDEX(tblOrtak[Tarih],ROW($A325)-ROW(tblOrtak[[#Headers],[Tarih]])+1))-$A325,RaporTarihi-$A325))</f>
        <v/>
      </c>
      <c r="H325" s="18" t="n">
        <f aca="false">IF($F325="",0,ROUND($F325*$G325,0))</f>
        <v>0</v>
      </c>
      <c r="I325" s="18" t="n">
        <f aca="false">IF($H325="",0,ROUND($H325*AdatFaizOran/AdatYilGunSayisi,2))</f>
        <v>0</v>
      </c>
      <c r="J325" s="22"/>
    </row>
    <row r="326" customFormat="false" ht="15" hidden="false" customHeight="false" outlineLevel="0" collapsed="false">
      <c r="A326" s="21"/>
      <c r="B326" s="22"/>
      <c r="C326" s="22"/>
      <c r="D326" s="23"/>
      <c r="E326" s="20" t="str">
        <f aca="false">IF($A326="","",IF($C326="Borç",-$D326,$D326))</f>
        <v/>
      </c>
      <c r="F326" s="18" t="str">
        <f aca="false">IF($A326="","",IFERROR(IF(INDEX(tblOrtak[Ortak Adı],ROW($A326)-ROW(tblOrtak[[#Headers],[Tarih]])-1)=$B326,INDEX(tblOrtak[Bakiye (₺)],ROW($A326)-ROW(tblOrtak[[#Headers],[Tarih]])-1)+$E326,$E326),$E326))</f>
        <v/>
      </c>
      <c r="G326" s="19" t="str">
        <f aca="false">IF($A326="","",IFERROR(IF(INDEX(tblOrtak[Tarih],ROW($A326)-ROW(tblOrtak[[#Headers],[Tarih]])+1)=0,RaporTarihi,INDEX(tblOrtak[Tarih],ROW($A326)-ROW(tblOrtak[[#Headers],[Tarih]])+1))-$A326,RaporTarihi-$A326))</f>
        <v/>
      </c>
      <c r="H326" s="18" t="n">
        <f aca="false">IF($F326="",0,ROUND($F326*$G326,0))</f>
        <v>0</v>
      </c>
      <c r="I326" s="18" t="n">
        <f aca="false">IF($H326="",0,ROUND($H326*AdatFaizOran/AdatYilGunSayisi,2))</f>
        <v>0</v>
      </c>
      <c r="J326" s="22"/>
    </row>
    <row r="327" customFormat="false" ht="15" hidden="false" customHeight="false" outlineLevel="0" collapsed="false">
      <c r="A327" s="21"/>
      <c r="B327" s="22"/>
      <c r="C327" s="22"/>
      <c r="D327" s="23"/>
      <c r="E327" s="20" t="str">
        <f aca="false">IF($A327="","",IF($C327="Borç",-$D327,$D327))</f>
        <v/>
      </c>
      <c r="F327" s="18" t="str">
        <f aca="false">IF($A327="","",IFERROR(IF(INDEX(tblOrtak[Ortak Adı],ROW($A327)-ROW(tblOrtak[[#Headers],[Tarih]])-1)=$B327,INDEX(tblOrtak[Bakiye (₺)],ROW($A327)-ROW(tblOrtak[[#Headers],[Tarih]])-1)+$E327,$E327),$E327))</f>
        <v/>
      </c>
      <c r="G327" s="19" t="str">
        <f aca="false">IF($A327="","",IFERROR(IF(INDEX(tblOrtak[Tarih],ROW($A327)-ROW(tblOrtak[[#Headers],[Tarih]])+1)=0,RaporTarihi,INDEX(tblOrtak[Tarih],ROW($A327)-ROW(tblOrtak[[#Headers],[Tarih]])+1))-$A327,RaporTarihi-$A327))</f>
        <v/>
      </c>
      <c r="H327" s="18" t="n">
        <f aca="false">IF($F327="",0,ROUND($F327*$G327,0))</f>
        <v>0</v>
      </c>
      <c r="I327" s="18" t="n">
        <f aca="false">IF($H327="",0,ROUND($H327*AdatFaizOran/AdatYilGunSayisi,2))</f>
        <v>0</v>
      </c>
      <c r="J327" s="22"/>
    </row>
    <row r="328" customFormat="false" ht="15" hidden="false" customHeight="false" outlineLevel="0" collapsed="false">
      <c r="A328" s="21"/>
      <c r="B328" s="22"/>
      <c r="C328" s="22"/>
      <c r="D328" s="23"/>
      <c r="E328" s="20" t="str">
        <f aca="false">IF($A328="","",IF($C328="Borç",-$D328,$D328))</f>
        <v/>
      </c>
      <c r="F328" s="18" t="str">
        <f aca="false">IF($A328="","",IFERROR(IF(INDEX(tblOrtak[Ortak Adı],ROW($A328)-ROW(tblOrtak[[#Headers],[Tarih]])-1)=$B328,INDEX(tblOrtak[Bakiye (₺)],ROW($A328)-ROW(tblOrtak[[#Headers],[Tarih]])-1)+$E328,$E328),$E328))</f>
        <v/>
      </c>
      <c r="G328" s="19" t="str">
        <f aca="false">IF($A328="","",IFERROR(IF(INDEX(tblOrtak[Tarih],ROW($A328)-ROW(tblOrtak[[#Headers],[Tarih]])+1)=0,RaporTarihi,INDEX(tblOrtak[Tarih],ROW($A328)-ROW(tblOrtak[[#Headers],[Tarih]])+1))-$A328,RaporTarihi-$A328))</f>
        <v/>
      </c>
      <c r="H328" s="18" t="n">
        <f aca="false">IF($F328="",0,ROUND($F328*$G328,0))</f>
        <v>0</v>
      </c>
      <c r="I328" s="18" t="n">
        <f aca="false">IF($H328="",0,ROUND($H328*AdatFaizOran/AdatYilGunSayisi,2))</f>
        <v>0</v>
      </c>
      <c r="J328" s="22"/>
    </row>
    <row r="329" customFormat="false" ht="15" hidden="false" customHeight="false" outlineLevel="0" collapsed="false">
      <c r="A329" s="21"/>
      <c r="B329" s="22"/>
      <c r="C329" s="22"/>
      <c r="D329" s="23"/>
      <c r="E329" s="20" t="str">
        <f aca="false">IF($A329="","",IF($C329="Borç",-$D329,$D329))</f>
        <v/>
      </c>
      <c r="F329" s="18" t="str">
        <f aca="false">IF($A329="","",IFERROR(IF(INDEX(tblOrtak[Ortak Adı],ROW($A329)-ROW(tblOrtak[[#Headers],[Tarih]])-1)=$B329,INDEX(tblOrtak[Bakiye (₺)],ROW($A329)-ROW(tblOrtak[[#Headers],[Tarih]])-1)+$E329,$E329),$E329))</f>
        <v/>
      </c>
      <c r="G329" s="19" t="str">
        <f aca="false">IF($A329="","",IFERROR(IF(INDEX(tblOrtak[Tarih],ROW($A329)-ROW(tblOrtak[[#Headers],[Tarih]])+1)=0,RaporTarihi,INDEX(tblOrtak[Tarih],ROW($A329)-ROW(tblOrtak[[#Headers],[Tarih]])+1))-$A329,RaporTarihi-$A329))</f>
        <v/>
      </c>
      <c r="H329" s="18" t="n">
        <f aca="false">IF($F329="",0,ROUND($F329*$G329,0))</f>
        <v>0</v>
      </c>
      <c r="I329" s="18" t="n">
        <f aca="false">IF($H329="",0,ROUND($H329*AdatFaizOran/AdatYilGunSayisi,2))</f>
        <v>0</v>
      </c>
      <c r="J329" s="22"/>
    </row>
    <row r="330" customFormat="false" ht="15" hidden="false" customHeight="false" outlineLevel="0" collapsed="false">
      <c r="A330" s="21"/>
      <c r="B330" s="22"/>
      <c r="C330" s="22"/>
      <c r="D330" s="23"/>
      <c r="E330" s="20" t="str">
        <f aca="false">IF($A330="","",IF($C330="Borç",-$D330,$D330))</f>
        <v/>
      </c>
      <c r="F330" s="18" t="str">
        <f aca="false">IF($A330="","",IFERROR(IF(INDEX(tblOrtak[Ortak Adı],ROW($A330)-ROW(tblOrtak[[#Headers],[Tarih]])-1)=$B330,INDEX(tblOrtak[Bakiye (₺)],ROW($A330)-ROW(tblOrtak[[#Headers],[Tarih]])-1)+$E330,$E330),$E330))</f>
        <v/>
      </c>
      <c r="G330" s="19" t="str">
        <f aca="false">IF($A330="","",IFERROR(IF(INDEX(tblOrtak[Tarih],ROW($A330)-ROW(tblOrtak[[#Headers],[Tarih]])+1)=0,RaporTarihi,INDEX(tblOrtak[Tarih],ROW($A330)-ROW(tblOrtak[[#Headers],[Tarih]])+1))-$A330,RaporTarihi-$A330))</f>
        <v/>
      </c>
      <c r="H330" s="18" t="n">
        <f aca="false">IF($F330="",0,ROUND($F330*$G330,0))</f>
        <v>0</v>
      </c>
      <c r="I330" s="18" t="n">
        <f aca="false">IF($H330="",0,ROUND($H330*AdatFaizOran/AdatYilGunSayisi,2))</f>
        <v>0</v>
      </c>
      <c r="J330" s="22"/>
    </row>
    <row r="331" customFormat="false" ht="15" hidden="false" customHeight="false" outlineLevel="0" collapsed="false">
      <c r="A331" s="21"/>
      <c r="B331" s="22"/>
      <c r="C331" s="22"/>
      <c r="D331" s="23"/>
      <c r="E331" s="20" t="str">
        <f aca="false">IF($A331="","",IF($C331="Borç",-$D331,$D331))</f>
        <v/>
      </c>
      <c r="F331" s="18" t="str">
        <f aca="false">IF($A331="","",IFERROR(IF(INDEX(tblOrtak[Ortak Adı],ROW($A331)-ROW(tblOrtak[[#Headers],[Tarih]])-1)=$B331,INDEX(tblOrtak[Bakiye (₺)],ROW($A331)-ROW(tblOrtak[[#Headers],[Tarih]])-1)+$E331,$E331),$E331))</f>
        <v/>
      </c>
      <c r="G331" s="19" t="str">
        <f aca="false">IF($A331="","",IFERROR(IF(INDEX(tblOrtak[Tarih],ROW($A331)-ROW(tblOrtak[[#Headers],[Tarih]])+1)=0,RaporTarihi,INDEX(tblOrtak[Tarih],ROW($A331)-ROW(tblOrtak[[#Headers],[Tarih]])+1))-$A331,RaporTarihi-$A331))</f>
        <v/>
      </c>
      <c r="H331" s="18" t="n">
        <f aca="false">IF($F331="",0,ROUND($F331*$G331,0))</f>
        <v>0</v>
      </c>
      <c r="I331" s="18" t="n">
        <f aca="false">IF($H331="",0,ROUND($H331*AdatFaizOran/AdatYilGunSayisi,2))</f>
        <v>0</v>
      </c>
      <c r="J331" s="22"/>
    </row>
    <row r="332" customFormat="false" ht="15" hidden="false" customHeight="false" outlineLevel="0" collapsed="false">
      <c r="A332" s="21"/>
      <c r="B332" s="22"/>
      <c r="C332" s="22"/>
      <c r="D332" s="23"/>
      <c r="E332" s="20" t="str">
        <f aca="false">IF($A332="","",IF($C332="Borç",-$D332,$D332))</f>
        <v/>
      </c>
      <c r="F332" s="18" t="str">
        <f aca="false">IF($A332="","",IFERROR(IF(INDEX(tblOrtak[Ortak Adı],ROW($A332)-ROW(tblOrtak[[#Headers],[Tarih]])-1)=$B332,INDEX(tblOrtak[Bakiye (₺)],ROW($A332)-ROW(tblOrtak[[#Headers],[Tarih]])-1)+$E332,$E332),$E332))</f>
        <v/>
      </c>
      <c r="G332" s="19" t="str">
        <f aca="false">IF($A332="","",IFERROR(IF(INDEX(tblOrtak[Tarih],ROW($A332)-ROW(tblOrtak[[#Headers],[Tarih]])+1)=0,RaporTarihi,INDEX(tblOrtak[Tarih],ROW($A332)-ROW(tblOrtak[[#Headers],[Tarih]])+1))-$A332,RaporTarihi-$A332))</f>
        <v/>
      </c>
      <c r="H332" s="18" t="n">
        <f aca="false">IF($F332="",0,ROUND($F332*$G332,0))</f>
        <v>0</v>
      </c>
      <c r="I332" s="18" t="n">
        <f aca="false">IF($H332="",0,ROUND($H332*AdatFaizOran/AdatYilGunSayisi,2))</f>
        <v>0</v>
      </c>
      <c r="J332" s="22"/>
    </row>
    <row r="333" customFormat="false" ht="15" hidden="false" customHeight="false" outlineLevel="0" collapsed="false">
      <c r="A333" s="21"/>
      <c r="B333" s="22"/>
      <c r="C333" s="22"/>
      <c r="D333" s="23"/>
      <c r="E333" s="20" t="str">
        <f aca="false">IF($A333="","",IF($C333="Borç",-$D333,$D333))</f>
        <v/>
      </c>
      <c r="F333" s="18" t="str">
        <f aca="false">IF($A333="","",IFERROR(IF(INDEX(tblOrtak[Ortak Adı],ROW($A333)-ROW(tblOrtak[[#Headers],[Tarih]])-1)=$B333,INDEX(tblOrtak[Bakiye (₺)],ROW($A333)-ROW(tblOrtak[[#Headers],[Tarih]])-1)+$E333,$E333),$E333))</f>
        <v/>
      </c>
      <c r="G333" s="19" t="str">
        <f aca="false">IF($A333="","",IFERROR(IF(INDEX(tblOrtak[Tarih],ROW($A333)-ROW(tblOrtak[[#Headers],[Tarih]])+1)=0,RaporTarihi,INDEX(tblOrtak[Tarih],ROW($A333)-ROW(tblOrtak[[#Headers],[Tarih]])+1))-$A333,RaporTarihi-$A333))</f>
        <v/>
      </c>
      <c r="H333" s="18" t="n">
        <f aca="false">IF($F333="",0,ROUND($F333*$G333,0))</f>
        <v>0</v>
      </c>
      <c r="I333" s="18" t="n">
        <f aca="false">IF($H333="",0,ROUND($H333*AdatFaizOran/AdatYilGunSayisi,2))</f>
        <v>0</v>
      </c>
      <c r="J333" s="22"/>
    </row>
    <row r="334" customFormat="false" ht="15" hidden="false" customHeight="false" outlineLevel="0" collapsed="false">
      <c r="A334" s="21"/>
      <c r="B334" s="22"/>
      <c r="C334" s="22"/>
      <c r="D334" s="23"/>
      <c r="E334" s="20" t="str">
        <f aca="false">IF($A334="","",IF($C334="Borç",-$D334,$D334))</f>
        <v/>
      </c>
      <c r="F334" s="18" t="str">
        <f aca="false">IF($A334="","",IFERROR(IF(INDEX(tblOrtak[Ortak Adı],ROW($A334)-ROW(tblOrtak[[#Headers],[Tarih]])-1)=$B334,INDEX(tblOrtak[Bakiye (₺)],ROW($A334)-ROW(tblOrtak[[#Headers],[Tarih]])-1)+$E334,$E334),$E334))</f>
        <v/>
      </c>
      <c r="G334" s="19" t="str">
        <f aca="false">IF($A334="","",IFERROR(IF(INDEX(tblOrtak[Tarih],ROW($A334)-ROW(tblOrtak[[#Headers],[Tarih]])+1)=0,RaporTarihi,INDEX(tblOrtak[Tarih],ROW($A334)-ROW(tblOrtak[[#Headers],[Tarih]])+1))-$A334,RaporTarihi-$A334))</f>
        <v/>
      </c>
      <c r="H334" s="18" t="n">
        <f aca="false">IF($F334="",0,ROUND($F334*$G334,0))</f>
        <v>0</v>
      </c>
      <c r="I334" s="18" t="n">
        <f aca="false">IF($H334="",0,ROUND($H334*AdatFaizOran/AdatYilGunSayisi,2))</f>
        <v>0</v>
      </c>
      <c r="J334" s="22"/>
    </row>
    <row r="335" customFormat="false" ht="15" hidden="false" customHeight="false" outlineLevel="0" collapsed="false">
      <c r="A335" s="21"/>
      <c r="B335" s="22"/>
      <c r="C335" s="22"/>
      <c r="D335" s="23"/>
      <c r="E335" s="20" t="str">
        <f aca="false">IF($A335="","",IF($C335="Borç",-$D335,$D335))</f>
        <v/>
      </c>
      <c r="F335" s="18" t="str">
        <f aca="false">IF($A335="","",IFERROR(IF(INDEX(tblOrtak[Ortak Adı],ROW($A335)-ROW(tblOrtak[[#Headers],[Tarih]])-1)=$B335,INDEX(tblOrtak[Bakiye (₺)],ROW($A335)-ROW(tblOrtak[[#Headers],[Tarih]])-1)+$E335,$E335),$E335))</f>
        <v/>
      </c>
      <c r="G335" s="19" t="str">
        <f aca="false">IF($A335="","",IFERROR(IF(INDEX(tblOrtak[Tarih],ROW($A335)-ROW(tblOrtak[[#Headers],[Tarih]])+1)=0,RaporTarihi,INDEX(tblOrtak[Tarih],ROW($A335)-ROW(tblOrtak[[#Headers],[Tarih]])+1))-$A335,RaporTarihi-$A335))</f>
        <v/>
      </c>
      <c r="H335" s="18" t="n">
        <f aca="false">IF($F335="",0,ROUND($F335*$G335,0))</f>
        <v>0</v>
      </c>
      <c r="I335" s="18" t="n">
        <f aca="false">IF($H335="",0,ROUND($H335*AdatFaizOran/AdatYilGunSayisi,2))</f>
        <v>0</v>
      </c>
      <c r="J335" s="22"/>
    </row>
    <row r="336" customFormat="false" ht="15" hidden="false" customHeight="false" outlineLevel="0" collapsed="false">
      <c r="A336" s="21"/>
      <c r="B336" s="22"/>
      <c r="C336" s="22"/>
      <c r="D336" s="23"/>
      <c r="E336" s="20" t="str">
        <f aca="false">IF($A336="","",IF($C336="Borç",-$D336,$D336))</f>
        <v/>
      </c>
      <c r="F336" s="18" t="str">
        <f aca="false">IF($A336="","",IFERROR(IF(INDEX(tblOrtak[Ortak Adı],ROW($A336)-ROW(tblOrtak[[#Headers],[Tarih]])-1)=$B336,INDEX(tblOrtak[Bakiye (₺)],ROW($A336)-ROW(tblOrtak[[#Headers],[Tarih]])-1)+$E336,$E336),$E336))</f>
        <v/>
      </c>
      <c r="G336" s="19" t="str">
        <f aca="false">IF($A336="","",IFERROR(IF(INDEX(tblOrtak[Tarih],ROW($A336)-ROW(tblOrtak[[#Headers],[Tarih]])+1)=0,RaporTarihi,INDEX(tblOrtak[Tarih],ROW($A336)-ROW(tblOrtak[[#Headers],[Tarih]])+1))-$A336,RaporTarihi-$A336))</f>
        <v/>
      </c>
      <c r="H336" s="18" t="n">
        <f aca="false">IF($F336="",0,ROUND($F336*$G336,0))</f>
        <v>0</v>
      </c>
      <c r="I336" s="18" t="n">
        <f aca="false">IF($H336="",0,ROUND($H336*AdatFaizOran/AdatYilGunSayisi,2))</f>
        <v>0</v>
      </c>
      <c r="J336" s="22"/>
    </row>
    <row r="337" customFormat="false" ht="15" hidden="false" customHeight="false" outlineLevel="0" collapsed="false">
      <c r="A337" s="21"/>
      <c r="B337" s="22"/>
      <c r="C337" s="22"/>
      <c r="D337" s="23"/>
      <c r="E337" s="20" t="str">
        <f aca="false">IF($A337="","",IF($C337="Borç",-$D337,$D337))</f>
        <v/>
      </c>
      <c r="F337" s="18" t="str">
        <f aca="false">IF($A337="","",IFERROR(IF(INDEX(tblOrtak[Ortak Adı],ROW($A337)-ROW(tblOrtak[[#Headers],[Tarih]])-1)=$B337,INDEX(tblOrtak[Bakiye (₺)],ROW($A337)-ROW(tblOrtak[[#Headers],[Tarih]])-1)+$E337,$E337),$E337))</f>
        <v/>
      </c>
      <c r="G337" s="19" t="str">
        <f aca="false">IF($A337="","",IFERROR(IF(INDEX(tblOrtak[Tarih],ROW($A337)-ROW(tblOrtak[[#Headers],[Tarih]])+1)=0,RaporTarihi,INDEX(tblOrtak[Tarih],ROW($A337)-ROW(tblOrtak[[#Headers],[Tarih]])+1))-$A337,RaporTarihi-$A337))</f>
        <v/>
      </c>
      <c r="H337" s="18" t="n">
        <f aca="false">IF($F337="",0,ROUND($F337*$G337,0))</f>
        <v>0</v>
      </c>
      <c r="I337" s="18" t="n">
        <f aca="false">IF($H337="",0,ROUND($H337*AdatFaizOran/AdatYilGunSayisi,2))</f>
        <v>0</v>
      </c>
      <c r="J337" s="22"/>
    </row>
    <row r="338" customFormat="false" ht="15" hidden="false" customHeight="false" outlineLevel="0" collapsed="false">
      <c r="A338" s="21"/>
      <c r="B338" s="22"/>
      <c r="C338" s="22"/>
      <c r="D338" s="23"/>
      <c r="E338" s="20" t="str">
        <f aca="false">IF($A338="","",IF($C338="Borç",-$D338,$D338))</f>
        <v/>
      </c>
      <c r="F338" s="18" t="str">
        <f aca="false">IF($A338="","",IFERROR(IF(INDEX(tblOrtak[Ortak Adı],ROW($A338)-ROW(tblOrtak[[#Headers],[Tarih]])-1)=$B338,INDEX(tblOrtak[Bakiye (₺)],ROW($A338)-ROW(tblOrtak[[#Headers],[Tarih]])-1)+$E338,$E338),$E338))</f>
        <v/>
      </c>
      <c r="G338" s="19" t="str">
        <f aca="false">IF($A338="","",IFERROR(IF(INDEX(tblOrtak[Tarih],ROW($A338)-ROW(tblOrtak[[#Headers],[Tarih]])+1)=0,RaporTarihi,INDEX(tblOrtak[Tarih],ROW($A338)-ROW(tblOrtak[[#Headers],[Tarih]])+1))-$A338,RaporTarihi-$A338))</f>
        <v/>
      </c>
      <c r="H338" s="18" t="n">
        <f aca="false">IF($F338="",0,ROUND($F338*$G338,0))</f>
        <v>0</v>
      </c>
      <c r="I338" s="18" t="n">
        <f aca="false">IF($H338="",0,ROUND($H338*AdatFaizOran/AdatYilGunSayisi,2))</f>
        <v>0</v>
      </c>
      <c r="J338" s="22"/>
    </row>
    <row r="339" customFormat="false" ht="15" hidden="false" customHeight="false" outlineLevel="0" collapsed="false">
      <c r="A339" s="21"/>
      <c r="B339" s="22"/>
      <c r="C339" s="22"/>
      <c r="D339" s="23"/>
      <c r="E339" s="20" t="str">
        <f aca="false">IF($A339="","",IF($C339="Borç",-$D339,$D339))</f>
        <v/>
      </c>
      <c r="F339" s="18" t="str">
        <f aca="false">IF($A339="","",IFERROR(IF(INDEX(tblOrtak[Ortak Adı],ROW($A339)-ROW(tblOrtak[[#Headers],[Tarih]])-1)=$B339,INDEX(tblOrtak[Bakiye (₺)],ROW($A339)-ROW(tblOrtak[[#Headers],[Tarih]])-1)+$E339,$E339),$E339))</f>
        <v/>
      </c>
      <c r="G339" s="19" t="str">
        <f aca="false">IF($A339="","",IFERROR(IF(INDEX(tblOrtak[Tarih],ROW($A339)-ROW(tblOrtak[[#Headers],[Tarih]])+1)=0,RaporTarihi,INDEX(tblOrtak[Tarih],ROW($A339)-ROW(tblOrtak[[#Headers],[Tarih]])+1))-$A339,RaporTarihi-$A339))</f>
        <v/>
      </c>
      <c r="H339" s="18" t="n">
        <f aca="false">IF($F339="",0,ROUND($F339*$G339,0))</f>
        <v>0</v>
      </c>
      <c r="I339" s="18" t="n">
        <f aca="false">IF($H339="",0,ROUND($H339*AdatFaizOran/AdatYilGunSayisi,2))</f>
        <v>0</v>
      </c>
      <c r="J339" s="22"/>
    </row>
    <row r="340" customFormat="false" ht="15" hidden="false" customHeight="false" outlineLevel="0" collapsed="false">
      <c r="A340" s="21"/>
      <c r="B340" s="22"/>
      <c r="C340" s="22"/>
      <c r="D340" s="23"/>
      <c r="E340" s="20" t="str">
        <f aca="false">IF($A340="","",IF($C340="Borç",-$D340,$D340))</f>
        <v/>
      </c>
      <c r="F340" s="18" t="str">
        <f aca="false">IF($A340="","",IFERROR(IF(INDEX(tblOrtak[Ortak Adı],ROW($A340)-ROW(tblOrtak[[#Headers],[Tarih]])-1)=$B340,INDEX(tblOrtak[Bakiye (₺)],ROW($A340)-ROW(tblOrtak[[#Headers],[Tarih]])-1)+$E340,$E340),$E340))</f>
        <v/>
      </c>
      <c r="G340" s="19" t="str">
        <f aca="false">IF($A340="","",IFERROR(IF(INDEX(tblOrtak[Tarih],ROW($A340)-ROW(tblOrtak[[#Headers],[Tarih]])+1)=0,RaporTarihi,INDEX(tblOrtak[Tarih],ROW($A340)-ROW(tblOrtak[[#Headers],[Tarih]])+1))-$A340,RaporTarihi-$A340))</f>
        <v/>
      </c>
      <c r="H340" s="18" t="n">
        <f aca="false">IF($F340="",0,ROUND($F340*$G340,0))</f>
        <v>0</v>
      </c>
      <c r="I340" s="18" t="n">
        <f aca="false">IF($H340="",0,ROUND($H340*AdatFaizOran/AdatYilGunSayisi,2))</f>
        <v>0</v>
      </c>
      <c r="J340" s="22"/>
    </row>
    <row r="341" customFormat="false" ht="15" hidden="false" customHeight="false" outlineLevel="0" collapsed="false">
      <c r="A341" s="21"/>
      <c r="B341" s="22"/>
      <c r="C341" s="22"/>
      <c r="D341" s="23"/>
      <c r="E341" s="20" t="str">
        <f aca="false">IF($A341="","",IF($C341="Borç",-$D341,$D341))</f>
        <v/>
      </c>
      <c r="F341" s="18" t="str">
        <f aca="false">IF($A341="","",IFERROR(IF(INDEX(tblOrtak[Ortak Adı],ROW($A341)-ROW(tblOrtak[[#Headers],[Tarih]])-1)=$B341,INDEX(tblOrtak[Bakiye (₺)],ROW($A341)-ROW(tblOrtak[[#Headers],[Tarih]])-1)+$E341,$E341),$E341))</f>
        <v/>
      </c>
      <c r="G341" s="19" t="str">
        <f aca="false">IF($A341="","",IFERROR(IF(INDEX(tblOrtak[Tarih],ROW($A341)-ROW(tblOrtak[[#Headers],[Tarih]])+1)=0,RaporTarihi,INDEX(tblOrtak[Tarih],ROW($A341)-ROW(tblOrtak[[#Headers],[Tarih]])+1))-$A341,RaporTarihi-$A341))</f>
        <v/>
      </c>
      <c r="H341" s="18" t="n">
        <f aca="false">IF($F341="",0,ROUND($F341*$G341,0))</f>
        <v>0</v>
      </c>
      <c r="I341" s="18" t="n">
        <f aca="false">IF($H341="",0,ROUND($H341*AdatFaizOran/AdatYilGunSayisi,2))</f>
        <v>0</v>
      </c>
      <c r="J341" s="22"/>
    </row>
    <row r="342" customFormat="false" ht="15" hidden="false" customHeight="false" outlineLevel="0" collapsed="false">
      <c r="A342" s="21"/>
      <c r="B342" s="22"/>
      <c r="C342" s="22"/>
      <c r="D342" s="23"/>
      <c r="E342" s="20" t="str">
        <f aca="false">IF($A342="","",IF($C342="Borç",-$D342,$D342))</f>
        <v/>
      </c>
      <c r="F342" s="18" t="str">
        <f aca="false">IF($A342="","",IFERROR(IF(INDEX(tblOrtak[Ortak Adı],ROW($A342)-ROW(tblOrtak[[#Headers],[Tarih]])-1)=$B342,INDEX(tblOrtak[Bakiye (₺)],ROW($A342)-ROW(tblOrtak[[#Headers],[Tarih]])-1)+$E342,$E342),$E342))</f>
        <v/>
      </c>
      <c r="G342" s="19" t="str">
        <f aca="false">IF($A342="","",IFERROR(IF(INDEX(tblOrtak[Tarih],ROW($A342)-ROW(tblOrtak[[#Headers],[Tarih]])+1)=0,RaporTarihi,INDEX(tblOrtak[Tarih],ROW($A342)-ROW(tblOrtak[[#Headers],[Tarih]])+1))-$A342,RaporTarihi-$A342))</f>
        <v/>
      </c>
      <c r="H342" s="18" t="n">
        <f aca="false">IF($F342="",0,ROUND($F342*$G342,0))</f>
        <v>0</v>
      </c>
      <c r="I342" s="18" t="n">
        <f aca="false">IF($H342="",0,ROUND($H342*AdatFaizOran/AdatYilGunSayisi,2))</f>
        <v>0</v>
      </c>
      <c r="J342" s="22"/>
    </row>
    <row r="343" customFormat="false" ht="15" hidden="false" customHeight="false" outlineLevel="0" collapsed="false">
      <c r="A343" s="21"/>
      <c r="B343" s="22"/>
      <c r="C343" s="22"/>
      <c r="D343" s="23"/>
      <c r="E343" s="20" t="str">
        <f aca="false">IF($A343="","",IF($C343="Borç",-$D343,$D343))</f>
        <v/>
      </c>
      <c r="F343" s="18" t="str">
        <f aca="false">IF($A343="","",IFERROR(IF(INDEX(tblOrtak[Ortak Adı],ROW($A343)-ROW(tblOrtak[[#Headers],[Tarih]])-1)=$B343,INDEX(tblOrtak[Bakiye (₺)],ROW($A343)-ROW(tblOrtak[[#Headers],[Tarih]])-1)+$E343,$E343),$E343))</f>
        <v/>
      </c>
      <c r="G343" s="19" t="str">
        <f aca="false">IF($A343="","",IFERROR(IF(INDEX(tblOrtak[Tarih],ROW($A343)-ROW(tblOrtak[[#Headers],[Tarih]])+1)=0,RaporTarihi,INDEX(tblOrtak[Tarih],ROW($A343)-ROW(tblOrtak[[#Headers],[Tarih]])+1))-$A343,RaporTarihi-$A343))</f>
        <v/>
      </c>
      <c r="H343" s="18" t="n">
        <f aca="false">IF($F343="",0,ROUND($F343*$G343,0))</f>
        <v>0</v>
      </c>
      <c r="I343" s="18" t="n">
        <f aca="false">IF($H343="",0,ROUND($H343*AdatFaizOran/AdatYilGunSayisi,2))</f>
        <v>0</v>
      </c>
      <c r="J343" s="22"/>
    </row>
    <row r="344" customFormat="false" ht="15" hidden="false" customHeight="false" outlineLevel="0" collapsed="false">
      <c r="A344" s="21"/>
      <c r="B344" s="22"/>
      <c r="C344" s="22"/>
      <c r="D344" s="23"/>
      <c r="E344" s="20" t="str">
        <f aca="false">IF($A344="","",IF($C344="Borç",-$D344,$D344))</f>
        <v/>
      </c>
      <c r="F344" s="18" t="str">
        <f aca="false">IF($A344="","",IFERROR(IF(INDEX(tblOrtak[Ortak Adı],ROW($A344)-ROW(tblOrtak[[#Headers],[Tarih]])-1)=$B344,INDEX(tblOrtak[Bakiye (₺)],ROW($A344)-ROW(tblOrtak[[#Headers],[Tarih]])-1)+$E344,$E344),$E344))</f>
        <v/>
      </c>
      <c r="G344" s="19" t="str">
        <f aca="false">IF($A344="","",IFERROR(IF(INDEX(tblOrtak[Tarih],ROW($A344)-ROW(tblOrtak[[#Headers],[Tarih]])+1)=0,RaporTarihi,INDEX(tblOrtak[Tarih],ROW($A344)-ROW(tblOrtak[[#Headers],[Tarih]])+1))-$A344,RaporTarihi-$A344))</f>
        <v/>
      </c>
      <c r="H344" s="18" t="n">
        <f aca="false">IF($F344="",0,ROUND($F344*$G344,0))</f>
        <v>0</v>
      </c>
      <c r="I344" s="18" t="n">
        <f aca="false">IF($H344="",0,ROUND($H344*AdatFaizOran/AdatYilGunSayisi,2))</f>
        <v>0</v>
      </c>
      <c r="J344" s="22"/>
    </row>
    <row r="345" customFormat="false" ht="15" hidden="false" customHeight="false" outlineLevel="0" collapsed="false">
      <c r="A345" s="21"/>
      <c r="B345" s="22"/>
      <c r="C345" s="22"/>
      <c r="D345" s="23"/>
      <c r="E345" s="20" t="str">
        <f aca="false">IF($A345="","",IF($C345="Borç",-$D345,$D345))</f>
        <v/>
      </c>
      <c r="F345" s="18" t="str">
        <f aca="false">IF($A345="","",IFERROR(IF(INDEX(tblOrtak[Ortak Adı],ROW($A345)-ROW(tblOrtak[[#Headers],[Tarih]])-1)=$B345,INDEX(tblOrtak[Bakiye (₺)],ROW($A345)-ROW(tblOrtak[[#Headers],[Tarih]])-1)+$E345,$E345),$E345))</f>
        <v/>
      </c>
      <c r="G345" s="19" t="str">
        <f aca="false">IF($A345="","",IFERROR(IF(INDEX(tblOrtak[Tarih],ROW($A345)-ROW(tblOrtak[[#Headers],[Tarih]])+1)=0,RaporTarihi,INDEX(tblOrtak[Tarih],ROW($A345)-ROW(tblOrtak[[#Headers],[Tarih]])+1))-$A345,RaporTarihi-$A345))</f>
        <v/>
      </c>
      <c r="H345" s="18" t="n">
        <f aca="false">IF($F345="",0,ROUND($F345*$G345,0))</f>
        <v>0</v>
      </c>
      <c r="I345" s="18" t="n">
        <f aca="false">IF($H345="",0,ROUND($H345*AdatFaizOran/AdatYilGunSayisi,2))</f>
        <v>0</v>
      </c>
      <c r="J345" s="22"/>
    </row>
    <row r="346" customFormat="false" ht="15" hidden="false" customHeight="false" outlineLevel="0" collapsed="false">
      <c r="A346" s="21"/>
      <c r="B346" s="22"/>
      <c r="C346" s="22"/>
      <c r="D346" s="23"/>
      <c r="E346" s="20" t="str">
        <f aca="false">IF($A346="","",IF($C346="Borç",-$D346,$D346))</f>
        <v/>
      </c>
      <c r="F346" s="18" t="str">
        <f aca="false">IF($A346="","",IFERROR(IF(INDEX(tblOrtak[Ortak Adı],ROW($A346)-ROW(tblOrtak[[#Headers],[Tarih]])-1)=$B346,INDEX(tblOrtak[Bakiye (₺)],ROW($A346)-ROW(tblOrtak[[#Headers],[Tarih]])-1)+$E346,$E346),$E346))</f>
        <v/>
      </c>
      <c r="G346" s="19" t="str">
        <f aca="false">IF($A346="","",IFERROR(IF(INDEX(tblOrtak[Tarih],ROW($A346)-ROW(tblOrtak[[#Headers],[Tarih]])+1)=0,RaporTarihi,INDEX(tblOrtak[Tarih],ROW($A346)-ROW(tblOrtak[[#Headers],[Tarih]])+1))-$A346,RaporTarihi-$A346))</f>
        <v/>
      </c>
      <c r="H346" s="18" t="n">
        <f aca="false">IF($F346="",0,ROUND($F346*$G346,0))</f>
        <v>0</v>
      </c>
      <c r="I346" s="18" t="n">
        <f aca="false">IF($H346="",0,ROUND($H346*AdatFaizOran/AdatYilGunSayisi,2))</f>
        <v>0</v>
      </c>
      <c r="J346" s="22"/>
    </row>
    <row r="347" customFormat="false" ht="15" hidden="false" customHeight="false" outlineLevel="0" collapsed="false">
      <c r="A347" s="21"/>
      <c r="B347" s="22"/>
      <c r="C347" s="22"/>
      <c r="D347" s="23"/>
      <c r="E347" s="20" t="str">
        <f aca="false">IF($A347="","",IF($C347="Borç",-$D347,$D347))</f>
        <v/>
      </c>
      <c r="F347" s="18" t="str">
        <f aca="false">IF($A347="","",IFERROR(IF(INDEX(tblOrtak[Ortak Adı],ROW($A347)-ROW(tblOrtak[[#Headers],[Tarih]])-1)=$B347,INDEX(tblOrtak[Bakiye (₺)],ROW($A347)-ROW(tblOrtak[[#Headers],[Tarih]])-1)+$E347,$E347),$E347))</f>
        <v/>
      </c>
      <c r="G347" s="19" t="str">
        <f aca="false">IF($A347="","",IFERROR(IF(INDEX(tblOrtak[Tarih],ROW($A347)-ROW(tblOrtak[[#Headers],[Tarih]])+1)=0,RaporTarihi,INDEX(tblOrtak[Tarih],ROW($A347)-ROW(tblOrtak[[#Headers],[Tarih]])+1))-$A347,RaporTarihi-$A347))</f>
        <v/>
      </c>
      <c r="H347" s="18" t="n">
        <f aca="false">IF($F347="",0,ROUND($F347*$G347,0))</f>
        <v>0</v>
      </c>
      <c r="I347" s="18" t="n">
        <f aca="false">IF($H347="",0,ROUND($H347*AdatFaizOran/AdatYilGunSayisi,2))</f>
        <v>0</v>
      </c>
      <c r="J347" s="22"/>
    </row>
    <row r="348" customFormat="false" ht="15" hidden="false" customHeight="false" outlineLevel="0" collapsed="false">
      <c r="A348" s="21"/>
      <c r="B348" s="22"/>
      <c r="C348" s="22"/>
      <c r="D348" s="23"/>
      <c r="E348" s="20" t="str">
        <f aca="false">IF($A348="","",IF($C348="Borç",-$D348,$D348))</f>
        <v/>
      </c>
      <c r="F348" s="18" t="str">
        <f aca="false">IF($A348="","",IFERROR(IF(INDEX(tblOrtak[Ortak Adı],ROW($A348)-ROW(tblOrtak[[#Headers],[Tarih]])-1)=$B348,INDEX(tblOrtak[Bakiye (₺)],ROW($A348)-ROW(tblOrtak[[#Headers],[Tarih]])-1)+$E348,$E348),$E348))</f>
        <v/>
      </c>
      <c r="G348" s="19" t="str">
        <f aca="false">IF($A348="","",IFERROR(IF(INDEX(tblOrtak[Tarih],ROW($A348)-ROW(tblOrtak[[#Headers],[Tarih]])+1)=0,RaporTarihi,INDEX(tblOrtak[Tarih],ROW($A348)-ROW(tblOrtak[[#Headers],[Tarih]])+1))-$A348,RaporTarihi-$A348))</f>
        <v/>
      </c>
      <c r="H348" s="18" t="n">
        <f aca="false">IF($F348="",0,ROUND($F348*$G348,0))</f>
        <v>0</v>
      </c>
      <c r="I348" s="18" t="n">
        <f aca="false">IF($H348="",0,ROUND($H348*AdatFaizOran/AdatYilGunSayisi,2))</f>
        <v>0</v>
      </c>
      <c r="J348" s="22"/>
    </row>
    <row r="349" customFormat="false" ht="15" hidden="false" customHeight="false" outlineLevel="0" collapsed="false">
      <c r="A349" s="21"/>
      <c r="B349" s="22"/>
      <c r="C349" s="22"/>
      <c r="D349" s="23"/>
      <c r="E349" s="20" t="str">
        <f aca="false">IF($A349="","",IF($C349="Borç",-$D349,$D349))</f>
        <v/>
      </c>
      <c r="F349" s="18" t="str">
        <f aca="false">IF($A349="","",IFERROR(IF(INDEX(tblOrtak[Ortak Adı],ROW($A349)-ROW(tblOrtak[[#Headers],[Tarih]])-1)=$B349,INDEX(tblOrtak[Bakiye (₺)],ROW($A349)-ROW(tblOrtak[[#Headers],[Tarih]])-1)+$E349,$E349),$E349))</f>
        <v/>
      </c>
      <c r="G349" s="19" t="str">
        <f aca="false">IF($A349="","",IFERROR(IF(INDEX(tblOrtak[Tarih],ROW($A349)-ROW(tblOrtak[[#Headers],[Tarih]])+1)=0,RaporTarihi,INDEX(tblOrtak[Tarih],ROW($A349)-ROW(tblOrtak[[#Headers],[Tarih]])+1))-$A349,RaporTarihi-$A349))</f>
        <v/>
      </c>
      <c r="H349" s="18" t="n">
        <f aca="false">IF($F349="",0,ROUND($F349*$G349,0))</f>
        <v>0</v>
      </c>
      <c r="I349" s="18" t="n">
        <f aca="false">IF($H349="",0,ROUND($H349*AdatFaizOran/AdatYilGunSayisi,2))</f>
        <v>0</v>
      </c>
      <c r="J349" s="22"/>
    </row>
    <row r="350" customFormat="false" ht="15" hidden="false" customHeight="false" outlineLevel="0" collapsed="false">
      <c r="A350" s="21"/>
      <c r="B350" s="22"/>
      <c r="C350" s="22"/>
      <c r="D350" s="23"/>
      <c r="E350" s="20" t="str">
        <f aca="false">IF($A350="","",IF($C350="Borç",-$D350,$D350))</f>
        <v/>
      </c>
      <c r="F350" s="18" t="str">
        <f aca="false">IF($A350="","",IFERROR(IF(INDEX(tblOrtak[Ortak Adı],ROW($A350)-ROW(tblOrtak[[#Headers],[Tarih]])-1)=$B350,INDEX(tblOrtak[Bakiye (₺)],ROW($A350)-ROW(tblOrtak[[#Headers],[Tarih]])-1)+$E350,$E350),$E350))</f>
        <v/>
      </c>
      <c r="G350" s="19" t="str">
        <f aca="false">IF($A350="","",IFERROR(IF(INDEX(tblOrtak[Tarih],ROW($A350)-ROW(tblOrtak[[#Headers],[Tarih]])+1)=0,RaporTarihi,INDEX(tblOrtak[Tarih],ROW($A350)-ROW(tblOrtak[[#Headers],[Tarih]])+1))-$A350,RaporTarihi-$A350))</f>
        <v/>
      </c>
      <c r="H350" s="18" t="n">
        <f aca="false">IF($F350="",0,ROUND($F350*$G350,0))</f>
        <v>0</v>
      </c>
      <c r="I350" s="18" t="n">
        <f aca="false">IF($H350="",0,ROUND($H350*AdatFaizOran/AdatYilGunSayisi,2))</f>
        <v>0</v>
      </c>
      <c r="J350" s="22"/>
    </row>
    <row r="351" customFormat="false" ht="15" hidden="false" customHeight="false" outlineLevel="0" collapsed="false">
      <c r="A351" s="21"/>
      <c r="B351" s="22"/>
      <c r="C351" s="22"/>
      <c r="D351" s="23"/>
      <c r="E351" s="20" t="str">
        <f aca="false">IF($A351="","",IF($C351="Borç",-$D351,$D351))</f>
        <v/>
      </c>
      <c r="F351" s="18" t="str">
        <f aca="false">IF($A351="","",IFERROR(IF(INDEX(tblOrtak[Ortak Adı],ROW($A351)-ROW(tblOrtak[[#Headers],[Tarih]])-1)=$B351,INDEX(tblOrtak[Bakiye (₺)],ROW($A351)-ROW(tblOrtak[[#Headers],[Tarih]])-1)+$E351,$E351),$E351))</f>
        <v/>
      </c>
      <c r="G351" s="19" t="str">
        <f aca="false">IF($A351="","",IFERROR(IF(INDEX(tblOrtak[Tarih],ROW($A351)-ROW(tblOrtak[[#Headers],[Tarih]])+1)=0,RaporTarihi,INDEX(tblOrtak[Tarih],ROW($A351)-ROW(tblOrtak[[#Headers],[Tarih]])+1))-$A351,RaporTarihi-$A351))</f>
        <v/>
      </c>
      <c r="H351" s="18" t="n">
        <f aca="false">IF($F351="",0,ROUND($F351*$G351,0))</f>
        <v>0</v>
      </c>
      <c r="I351" s="18" t="n">
        <f aca="false">IF($H351="",0,ROUND($H351*AdatFaizOran/AdatYilGunSayisi,2))</f>
        <v>0</v>
      </c>
      <c r="J351" s="22"/>
    </row>
    <row r="352" customFormat="false" ht="15" hidden="false" customHeight="false" outlineLevel="0" collapsed="false">
      <c r="A352" s="21"/>
      <c r="B352" s="22"/>
      <c r="C352" s="22"/>
      <c r="D352" s="23"/>
      <c r="E352" s="20" t="str">
        <f aca="false">IF($A352="","",IF($C352="Borç",-$D352,$D352))</f>
        <v/>
      </c>
      <c r="F352" s="18" t="str">
        <f aca="false">IF($A352="","",IFERROR(IF(INDEX(tblOrtak[Ortak Adı],ROW($A352)-ROW(tblOrtak[[#Headers],[Tarih]])-1)=$B352,INDEX(tblOrtak[Bakiye (₺)],ROW($A352)-ROW(tblOrtak[[#Headers],[Tarih]])-1)+$E352,$E352),$E352))</f>
        <v/>
      </c>
      <c r="G352" s="19" t="str">
        <f aca="false">IF($A352="","",IFERROR(IF(INDEX(tblOrtak[Tarih],ROW($A352)-ROW(tblOrtak[[#Headers],[Tarih]])+1)=0,RaporTarihi,INDEX(tblOrtak[Tarih],ROW($A352)-ROW(tblOrtak[[#Headers],[Tarih]])+1))-$A352,RaporTarihi-$A352))</f>
        <v/>
      </c>
      <c r="H352" s="18" t="n">
        <f aca="false">IF($F352="",0,ROUND($F352*$G352,0))</f>
        <v>0</v>
      </c>
      <c r="I352" s="18" t="n">
        <f aca="false">IF($H352="",0,ROUND($H352*AdatFaizOran/AdatYilGunSayisi,2))</f>
        <v>0</v>
      </c>
      <c r="J352" s="22"/>
    </row>
    <row r="353" customFormat="false" ht="15" hidden="false" customHeight="false" outlineLevel="0" collapsed="false">
      <c r="A353" s="21"/>
      <c r="B353" s="22"/>
      <c r="C353" s="22"/>
      <c r="D353" s="23"/>
      <c r="E353" s="20" t="str">
        <f aca="false">IF($A353="","",IF($C353="Borç",-$D353,$D353))</f>
        <v/>
      </c>
      <c r="F353" s="18" t="str">
        <f aca="false">IF($A353="","",IFERROR(IF(INDEX(tblOrtak[Ortak Adı],ROW($A353)-ROW(tblOrtak[[#Headers],[Tarih]])-1)=$B353,INDEX(tblOrtak[Bakiye (₺)],ROW($A353)-ROW(tblOrtak[[#Headers],[Tarih]])-1)+$E353,$E353),$E353))</f>
        <v/>
      </c>
      <c r="G353" s="19" t="str">
        <f aca="false">IF($A353="","",IFERROR(IF(INDEX(tblOrtak[Tarih],ROW($A353)-ROW(tblOrtak[[#Headers],[Tarih]])+1)=0,RaporTarihi,INDEX(tblOrtak[Tarih],ROW($A353)-ROW(tblOrtak[[#Headers],[Tarih]])+1))-$A353,RaporTarihi-$A353))</f>
        <v/>
      </c>
      <c r="H353" s="18" t="n">
        <f aca="false">IF($F353="",0,ROUND($F353*$G353,0))</f>
        <v>0</v>
      </c>
      <c r="I353" s="18" t="n">
        <f aca="false">IF($H353="",0,ROUND($H353*AdatFaizOran/AdatYilGunSayisi,2))</f>
        <v>0</v>
      </c>
      <c r="J353" s="22"/>
    </row>
    <row r="354" customFormat="false" ht="15" hidden="false" customHeight="false" outlineLevel="0" collapsed="false">
      <c r="A354" s="21"/>
      <c r="B354" s="22"/>
      <c r="C354" s="22"/>
      <c r="D354" s="23"/>
      <c r="E354" s="20" t="str">
        <f aca="false">IF($A354="","",IF($C354="Borç",-$D354,$D354))</f>
        <v/>
      </c>
      <c r="F354" s="18" t="str">
        <f aca="false">IF($A354="","",IFERROR(IF(INDEX(tblOrtak[Ortak Adı],ROW($A354)-ROW(tblOrtak[[#Headers],[Tarih]])-1)=$B354,INDEX(tblOrtak[Bakiye (₺)],ROW($A354)-ROW(tblOrtak[[#Headers],[Tarih]])-1)+$E354,$E354),$E354))</f>
        <v/>
      </c>
      <c r="G354" s="19" t="str">
        <f aca="false">IF($A354="","",IFERROR(IF(INDEX(tblOrtak[Tarih],ROW($A354)-ROW(tblOrtak[[#Headers],[Tarih]])+1)=0,RaporTarihi,INDEX(tblOrtak[Tarih],ROW($A354)-ROW(tblOrtak[[#Headers],[Tarih]])+1))-$A354,RaporTarihi-$A354))</f>
        <v/>
      </c>
      <c r="H354" s="18" t="n">
        <f aca="false">IF($F354="",0,ROUND($F354*$G354,0))</f>
        <v>0</v>
      </c>
      <c r="I354" s="18" t="n">
        <f aca="false">IF($H354="",0,ROUND($H354*AdatFaizOran/AdatYilGunSayisi,2))</f>
        <v>0</v>
      </c>
      <c r="J354" s="22"/>
    </row>
    <row r="355" customFormat="false" ht="15" hidden="false" customHeight="false" outlineLevel="0" collapsed="false">
      <c r="A355" s="21"/>
      <c r="B355" s="22"/>
      <c r="C355" s="22"/>
      <c r="D355" s="23"/>
      <c r="E355" s="20" t="str">
        <f aca="false">IF($A355="","",IF($C355="Borç",-$D355,$D355))</f>
        <v/>
      </c>
      <c r="F355" s="18" t="str">
        <f aca="false">IF($A355="","",IFERROR(IF(INDEX(tblOrtak[Ortak Adı],ROW($A355)-ROW(tblOrtak[[#Headers],[Tarih]])-1)=$B355,INDEX(tblOrtak[Bakiye (₺)],ROW($A355)-ROW(tblOrtak[[#Headers],[Tarih]])-1)+$E355,$E355),$E355))</f>
        <v/>
      </c>
      <c r="G355" s="19" t="str">
        <f aca="false">IF($A355="","",IFERROR(IF(INDEX(tblOrtak[Tarih],ROW($A355)-ROW(tblOrtak[[#Headers],[Tarih]])+1)=0,RaporTarihi,INDEX(tblOrtak[Tarih],ROW($A355)-ROW(tblOrtak[[#Headers],[Tarih]])+1))-$A355,RaporTarihi-$A355))</f>
        <v/>
      </c>
      <c r="H355" s="18" t="n">
        <f aca="false">IF($F355="",0,ROUND($F355*$G355,0))</f>
        <v>0</v>
      </c>
      <c r="I355" s="18" t="n">
        <f aca="false">IF($H355="",0,ROUND($H355*AdatFaizOran/AdatYilGunSayisi,2))</f>
        <v>0</v>
      </c>
      <c r="J355" s="22"/>
    </row>
    <row r="356" customFormat="false" ht="15" hidden="false" customHeight="false" outlineLevel="0" collapsed="false">
      <c r="A356" s="21"/>
      <c r="B356" s="22"/>
      <c r="C356" s="22"/>
      <c r="D356" s="23"/>
      <c r="E356" s="20" t="str">
        <f aca="false">IF($A356="","",IF($C356="Borç",-$D356,$D356))</f>
        <v/>
      </c>
      <c r="F356" s="18" t="str">
        <f aca="false">IF($A356="","",IFERROR(IF(INDEX(tblOrtak[Ortak Adı],ROW($A356)-ROW(tblOrtak[[#Headers],[Tarih]])-1)=$B356,INDEX(tblOrtak[Bakiye (₺)],ROW($A356)-ROW(tblOrtak[[#Headers],[Tarih]])-1)+$E356,$E356),$E356))</f>
        <v/>
      </c>
      <c r="G356" s="19" t="str">
        <f aca="false">IF($A356="","",IFERROR(IF(INDEX(tblOrtak[Tarih],ROW($A356)-ROW(tblOrtak[[#Headers],[Tarih]])+1)=0,RaporTarihi,INDEX(tblOrtak[Tarih],ROW($A356)-ROW(tblOrtak[[#Headers],[Tarih]])+1))-$A356,RaporTarihi-$A356))</f>
        <v/>
      </c>
      <c r="H356" s="18" t="n">
        <f aca="false">IF($F356="",0,ROUND($F356*$G356,0))</f>
        <v>0</v>
      </c>
      <c r="I356" s="18" t="n">
        <f aca="false">IF($H356="",0,ROUND($H356*AdatFaizOran/AdatYilGunSayisi,2))</f>
        <v>0</v>
      </c>
      <c r="J356" s="22"/>
    </row>
    <row r="357" customFormat="false" ht="15" hidden="false" customHeight="false" outlineLevel="0" collapsed="false">
      <c r="A357" s="21"/>
      <c r="B357" s="22"/>
      <c r="C357" s="22"/>
      <c r="D357" s="23"/>
      <c r="E357" s="20" t="str">
        <f aca="false">IF($A357="","",IF($C357="Borç",-$D357,$D357))</f>
        <v/>
      </c>
      <c r="F357" s="18" t="str">
        <f aca="false">IF($A357="","",IFERROR(IF(INDEX(tblOrtak[Ortak Adı],ROW($A357)-ROW(tblOrtak[[#Headers],[Tarih]])-1)=$B357,INDEX(tblOrtak[Bakiye (₺)],ROW($A357)-ROW(tblOrtak[[#Headers],[Tarih]])-1)+$E357,$E357),$E357))</f>
        <v/>
      </c>
      <c r="G357" s="19" t="str">
        <f aca="false">IF($A357="","",IFERROR(IF(INDEX(tblOrtak[Tarih],ROW($A357)-ROW(tblOrtak[[#Headers],[Tarih]])+1)=0,RaporTarihi,INDEX(tblOrtak[Tarih],ROW($A357)-ROW(tblOrtak[[#Headers],[Tarih]])+1))-$A357,RaporTarihi-$A357))</f>
        <v/>
      </c>
      <c r="H357" s="18" t="n">
        <f aca="false">IF($F357="",0,ROUND($F357*$G357,0))</f>
        <v>0</v>
      </c>
      <c r="I357" s="18" t="n">
        <f aca="false">IF($H357="",0,ROUND($H357*AdatFaizOran/AdatYilGunSayisi,2))</f>
        <v>0</v>
      </c>
      <c r="J357" s="22"/>
    </row>
    <row r="358" customFormat="false" ht="15" hidden="false" customHeight="false" outlineLevel="0" collapsed="false">
      <c r="A358" s="21"/>
      <c r="B358" s="22"/>
      <c r="C358" s="22"/>
      <c r="D358" s="23"/>
      <c r="E358" s="20" t="str">
        <f aca="false">IF($A358="","",IF($C358="Borç",-$D358,$D358))</f>
        <v/>
      </c>
      <c r="F358" s="18" t="str">
        <f aca="false">IF($A358="","",IFERROR(IF(INDEX(tblOrtak[Ortak Adı],ROW($A358)-ROW(tblOrtak[[#Headers],[Tarih]])-1)=$B358,INDEX(tblOrtak[Bakiye (₺)],ROW($A358)-ROW(tblOrtak[[#Headers],[Tarih]])-1)+$E358,$E358),$E358))</f>
        <v/>
      </c>
      <c r="G358" s="19" t="str">
        <f aca="false">IF($A358="","",IFERROR(IF(INDEX(tblOrtak[Tarih],ROW($A358)-ROW(tblOrtak[[#Headers],[Tarih]])+1)=0,RaporTarihi,INDEX(tblOrtak[Tarih],ROW($A358)-ROW(tblOrtak[[#Headers],[Tarih]])+1))-$A358,RaporTarihi-$A358))</f>
        <v/>
      </c>
      <c r="H358" s="18" t="n">
        <f aca="false">IF($F358="",0,ROUND($F358*$G358,0))</f>
        <v>0</v>
      </c>
      <c r="I358" s="18" t="n">
        <f aca="false">IF($H358="",0,ROUND($H358*AdatFaizOran/AdatYilGunSayisi,2))</f>
        <v>0</v>
      </c>
      <c r="J358" s="22"/>
    </row>
    <row r="359" customFormat="false" ht="15" hidden="false" customHeight="false" outlineLevel="0" collapsed="false">
      <c r="A359" s="21"/>
      <c r="B359" s="22"/>
      <c r="C359" s="22"/>
      <c r="D359" s="23"/>
      <c r="E359" s="20" t="str">
        <f aca="false">IF($A359="","",IF($C359="Borç",-$D359,$D359))</f>
        <v/>
      </c>
      <c r="F359" s="18" t="str">
        <f aca="false">IF($A359="","",IFERROR(IF(INDEX(tblOrtak[Ortak Adı],ROW($A359)-ROW(tblOrtak[[#Headers],[Tarih]])-1)=$B359,INDEX(tblOrtak[Bakiye (₺)],ROW($A359)-ROW(tblOrtak[[#Headers],[Tarih]])-1)+$E359,$E359),$E359))</f>
        <v/>
      </c>
      <c r="G359" s="19" t="str">
        <f aca="false">IF($A359="","",IFERROR(IF(INDEX(tblOrtak[Tarih],ROW($A359)-ROW(tblOrtak[[#Headers],[Tarih]])+1)=0,RaporTarihi,INDEX(tblOrtak[Tarih],ROW($A359)-ROW(tblOrtak[[#Headers],[Tarih]])+1))-$A359,RaporTarihi-$A359))</f>
        <v/>
      </c>
      <c r="H359" s="18" t="n">
        <f aca="false">IF($F359="",0,ROUND($F359*$G359,0))</f>
        <v>0</v>
      </c>
      <c r="I359" s="18" t="n">
        <f aca="false">IF($H359="",0,ROUND($H359*AdatFaizOran/AdatYilGunSayisi,2))</f>
        <v>0</v>
      </c>
      <c r="J359" s="22"/>
    </row>
    <row r="360" customFormat="false" ht="15" hidden="false" customHeight="false" outlineLevel="0" collapsed="false">
      <c r="A360" s="21"/>
      <c r="B360" s="22"/>
      <c r="C360" s="22"/>
      <c r="D360" s="23"/>
      <c r="E360" s="20" t="str">
        <f aca="false">IF($A360="","",IF($C360="Borç",-$D360,$D360))</f>
        <v/>
      </c>
      <c r="F360" s="18" t="str">
        <f aca="false">IF($A360="","",IFERROR(IF(INDEX(tblOrtak[Ortak Adı],ROW($A360)-ROW(tblOrtak[[#Headers],[Tarih]])-1)=$B360,INDEX(tblOrtak[Bakiye (₺)],ROW($A360)-ROW(tblOrtak[[#Headers],[Tarih]])-1)+$E360,$E360),$E360))</f>
        <v/>
      </c>
      <c r="G360" s="19" t="str">
        <f aca="false">IF($A360="","",IFERROR(IF(INDEX(tblOrtak[Tarih],ROW($A360)-ROW(tblOrtak[[#Headers],[Tarih]])+1)=0,RaporTarihi,INDEX(tblOrtak[Tarih],ROW($A360)-ROW(tblOrtak[[#Headers],[Tarih]])+1))-$A360,RaporTarihi-$A360))</f>
        <v/>
      </c>
      <c r="H360" s="18" t="n">
        <f aca="false">IF($F360="",0,ROUND($F360*$G360,0))</f>
        <v>0</v>
      </c>
      <c r="I360" s="18" t="n">
        <f aca="false">IF($H360="",0,ROUND($H360*AdatFaizOran/AdatYilGunSayisi,2))</f>
        <v>0</v>
      </c>
      <c r="J360" s="22"/>
    </row>
    <row r="361" customFormat="false" ht="15" hidden="false" customHeight="false" outlineLevel="0" collapsed="false">
      <c r="A361" s="21"/>
      <c r="B361" s="22"/>
      <c r="C361" s="22"/>
      <c r="D361" s="23"/>
      <c r="E361" s="20" t="str">
        <f aca="false">IF($A361="","",IF($C361="Borç",-$D361,$D361))</f>
        <v/>
      </c>
      <c r="F361" s="18" t="str">
        <f aca="false">IF($A361="","",IFERROR(IF(INDEX(tblOrtak[Ortak Adı],ROW($A361)-ROW(tblOrtak[[#Headers],[Tarih]])-1)=$B361,INDEX(tblOrtak[Bakiye (₺)],ROW($A361)-ROW(tblOrtak[[#Headers],[Tarih]])-1)+$E361,$E361),$E361))</f>
        <v/>
      </c>
      <c r="G361" s="19" t="str">
        <f aca="false">IF($A361="","",IFERROR(IF(INDEX(tblOrtak[Tarih],ROW($A361)-ROW(tblOrtak[[#Headers],[Tarih]])+1)=0,RaporTarihi,INDEX(tblOrtak[Tarih],ROW($A361)-ROW(tblOrtak[[#Headers],[Tarih]])+1))-$A361,RaporTarihi-$A361))</f>
        <v/>
      </c>
      <c r="H361" s="18" t="n">
        <f aca="false">IF($F361="",0,ROUND($F361*$G361,0))</f>
        <v>0</v>
      </c>
      <c r="I361" s="18" t="n">
        <f aca="false">IF($H361="",0,ROUND($H361*AdatFaizOran/AdatYilGunSayisi,2))</f>
        <v>0</v>
      </c>
      <c r="J361" s="22"/>
    </row>
    <row r="362" customFormat="false" ht="15" hidden="false" customHeight="false" outlineLevel="0" collapsed="false">
      <c r="A362" s="21"/>
      <c r="B362" s="22"/>
      <c r="C362" s="22"/>
      <c r="D362" s="23"/>
      <c r="E362" s="20" t="str">
        <f aca="false">IF($A362="","",IF($C362="Borç",-$D362,$D362))</f>
        <v/>
      </c>
      <c r="F362" s="18" t="str">
        <f aca="false">IF($A362="","",IFERROR(IF(INDEX(tblOrtak[Ortak Adı],ROW($A362)-ROW(tblOrtak[[#Headers],[Tarih]])-1)=$B362,INDEX(tblOrtak[Bakiye (₺)],ROW($A362)-ROW(tblOrtak[[#Headers],[Tarih]])-1)+$E362,$E362),$E362))</f>
        <v/>
      </c>
      <c r="G362" s="19" t="str">
        <f aca="false">IF($A362="","",IFERROR(IF(INDEX(tblOrtak[Tarih],ROW($A362)-ROW(tblOrtak[[#Headers],[Tarih]])+1)=0,RaporTarihi,INDEX(tblOrtak[Tarih],ROW($A362)-ROW(tblOrtak[[#Headers],[Tarih]])+1))-$A362,RaporTarihi-$A362))</f>
        <v/>
      </c>
      <c r="H362" s="18" t="n">
        <f aca="false">IF($F362="",0,ROUND($F362*$G362,0))</f>
        <v>0</v>
      </c>
      <c r="I362" s="18" t="n">
        <f aca="false">IF($H362="",0,ROUND($H362*AdatFaizOran/AdatYilGunSayisi,2))</f>
        <v>0</v>
      </c>
      <c r="J362" s="22"/>
    </row>
    <row r="363" customFormat="false" ht="15" hidden="false" customHeight="false" outlineLevel="0" collapsed="false">
      <c r="A363" s="21"/>
      <c r="B363" s="22"/>
      <c r="C363" s="22"/>
      <c r="D363" s="23"/>
      <c r="E363" s="20" t="str">
        <f aca="false">IF($A363="","",IF($C363="Borç",-$D363,$D363))</f>
        <v/>
      </c>
      <c r="F363" s="18" t="str">
        <f aca="false">IF($A363="","",IFERROR(IF(INDEX(tblOrtak[Ortak Adı],ROW($A363)-ROW(tblOrtak[[#Headers],[Tarih]])-1)=$B363,INDEX(tblOrtak[Bakiye (₺)],ROW($A363)-ROW(tblOrtak[[#Headers],[Tarih]])-1)+$E363,$E363),$E363))</f>
        <v/>
      </c>
      <c r="G363" s="19" t="str">
        <f aca="false">IF($A363="","",IFERROR(IF(INDEX(tblOrtak[Tarih],ROW($A363)-ROW(tblOrtak[[#Headers],[Tarih]])+1)=0,RaporTarihi,INDEX(tblOrtak[Tarih],ROW($A363)-ROW(tblOrtak[[#Headers],[Tarih]])+1))-$A363,RaporTarihi-$A363))</f>
        <v/>
      </c>
      <c r="H363" s="18" t="n">
        <f aca="false">IF($F363="",0,ROUND($F363*$G363,0))</f>
        <v>0</v>
      </c>
      <c r="I363" s="18" t="n">
        <f aca="false">IF($H363="",0,ROUND($H363*AdatFaizOran/AdatYilGunSayisi,2))</f>
        <v>0</v>
      </c>
      <c r="J363" s="22"/>
    </row>
    <row r="364" customFormat="false" ht="15" hidden="false" customHeight="false" outlineLevel="0" collapsed="false">
      <c r="A364" s="21"/>
      <c r="B364" s="22"/>
      <c r="C364" s="22"/>
      <c r="D364" s="23"/>
      <c r="E364" s="20" t="str">
        <f aca="false">IF($A364="","",IF($C364="Borç",-$D364,$D364))</f>
        <v/>
      </c>
      <c r="F364" s="18" t="str">
        <f aca="false">IF($A364="","",IFERROR(IF(INDEX(tblOrtak[Ortak Adı],ROW($A364)-ROW(tblOrtak[[#Headers],[Tarih]])-1)=$B364,INDEX(tblOrtak[Bakiye (₺)],ROW($A364)-ROW(tblOrtak[[#Headers],[Tarih]])-1)+$E364,$E364),$E364))</f>
        <v/>
      </c>
      <c r="G364" s="19" t="str">
        <f aca="false">IF($A364="","",IFERROR(IF(INDEX(tblOrtak[Tarih],ROW($A364)-ROW(tblOrtak[[#Headers],[Tarih]])+1)=0,RaporTarihi,INDEX(tblOrtak[Tarih],ROW($A364)-ROW(tblOrtak[[#Headers],[Tarih]])+1))-$A364,RaporTarihi-$A364))</f>
        <v/>
      </c>
      <c r="H364" s="18" t="n">
        <f aca="false">IF($F364="",0,ROUND($F364*$G364,0))</f>
        <v>0</v>
      </c>
      <c r="I364" s="18" t="n">
        <f aca="false">IF($H364="",0,ROUND($H364*AdatFaizOran/AdatYilGunSayisi,2))</f>
        <v>0</v>
      </c>
      <c r="J364" s="22"/>
    </row>
    <row r="365" customFormat="false" ht="15" hidden="false" customHeight="false" outlineLevel="0" collapsed="false">
      <c r="A365" s="21"/>
      <c r="B365" s="22"/>
      <c r="C365" s="22"/>
      <c r="D365" s="23"/>
      <c r="E365" s="20" t="str">
        <f aca="false">IF($A365="","",IF($C365="Borç",-$D365,$D365))</f>
        <v/>
      </c>
      <c r="F365" s="18" t="str">
        <f aca="false">IF($A365="","",IFERROR(IF(INDEX(tblOrtak[Ortak Adı],ROW($A365)-ROW(tblOrtak[[#Headers],[Tarih]])-1)=$B365,INDEX(tblOrtak[Bakiye (₺)],ROW($A365)-ROW(tblOrtak[[#Headers],[Tarih]])-1)+$E365,$E365),$E365))</f>
        <v/>
      </c>
      <c r="G365" s="19" t="str">
        <f aca="false">IF($A365="","",IFERROR(IF(INDEX(tblOrtak[Tarih],ROW($A365)-ROW(tblOrtak[[#Headers],[Tarih]])+1)=0,RaporTarihi,INDEX(tblOrtak[Tarih],ROW($A365)-ROW(tblOrtak[[#Headers],[Tarih]])+1))-$A365,RaporTarihi-$A365))</f>
        <v/>
      </c>
      <c r="H365" s="18" t="n">
        <f aca="false">IF($F365="",0,ROUND($F365*$G365,0))</f>
        <v>0</v>
      </c>
      <c r="I365" s="18" t="n">
        <f aca="false">IF($H365="",0,ROUND($H365*AdatFaizOran/AdatYilGunSayisi,2))</f>
        <v>0</v>
      </c>
      <c r="J365" s="22"/>
    </row>
    <row r="366" customFormat="false" ht="15" hidden="false" customHeight="false" outlineLevel="0" collapsed="false">
      <c r="A366" s="21"/>
      <c r="B366" s="22"/>
      <c r="C366" s="22"/>
      <c r="D366" s="23"/>
      <c r="E366" s="20" t="str">
        <f aca="false">IF($A366="","",IF($C366="Borç",-$D366,$D366))</f>
        <v/>
      </c>
      <c r="F366" s="18" t="str">
        <f aca="false">IF($A366="","",IFERROR(IF(INDEX(tblOrtak[Ortak Adı],ROW($A366)-ROW(tblOrtak[[#Headers],[Tarih]])-1)=$B366,INDEX(tblOrtak[Bakiye (₺)],ROW($A366)-ROW(tblOrtak[[#Headers],[Tarih]])-1)+$E366,$E366),$E366))</f>
        <v/>
      </c>
      <c r="G366" s="19" t="str">
        <f aca="false">IF($A366="","",IFERROR(IF(INDEX(tblOrtak[Tarih],ROW($A366)-ROW(tblOrtak[[#Headers],[Tarih]])+1)=0,RaporTarihi,INDEX(tblOrtak[Tarih],ROW($A366)-ROW(tblOrtak[[#Headers],[Tarih]])+1))-$A366,RaporTarihi-$A366))</f>
        <v/>
      </c>
      <c r="H366" s="18" t="n">
        <f aca="false">IF($F366="",0,ROUND($F366*$G366,0))</f>
        <v>0</v>
      </c>
      <c r="I366" s="18" t="n">
        <f aca="false">IF($H366="",0,ROUND($H366*AdatFaizOran/AdatYilGunSayisi,2))</f>
        <v>0</v>
      </c>
      <c r="J366" s="22"/>
    </row>
    <row r="367" customFormat="false" ht="15" hidden="false" customHeight="false" outlineLevel="0" collapsed="false">
      <c r="A367" s="21"/>
      <c r="B367" s="22"/>
      <c r="C367" s="22"/>
      <c r="D367" s="23"/>
      <c r="E367" s="20" t="str">
        <f aca="false">IF($A367="","",IF($C367="Borç",-$D367,$D367))</f>
        <v/>
      </c>
      <c r="F367" s="18" t="str">
        <f aca="false">IF($A367="","",IFERROR(IF(INDEX(tblOrtak[Ortak Adı],ROW($A367)-ROW(tblOrtak[[#Headers],[Tarih]])-1)=$B367,INDEX(tblOrtak[Bakiye (₺)],ROW($A367)-ROW(tblOrtak[[#Headers],[Tarih]])-1)+$E367,$E367),$E367))</f>
        <v/>
      </c>
      <c r="G367" s="19" t="str">
        <f aca="false">IF($A367="","",IFERROR(IF(INDEX(tblOrtak[Tarih],ROW($A367)-ROW(tblOrtak[[#Headers],[Tarih]])+1)=0,RaporTarihi,INDEX(tblOrtak[Tarih],ROW($A367)-ROW(tblOrtak[[#Headers],[Tarih]])+1))-$A367,RaporTarihi-$A367))</f>
        <v/>
      </c>
      <c r="H367" s="18" t="n">
        <f aca="false">IF($F367="",0,ROUND($F367*$G367,0))</f>
        <v>0</v>
      </c>
      <c r="I367" s="18" t="n">
        <f aca="false">IF($H367="",0,ROUND($H367*AdatFaizOran/AdatYilGunSayisi,2))</f>
        <v>0</v>
      </c>
      <c r="J367" s="22"/>
    </row>
    <row r="368" customFormat="false" ht="15" hidden="false" customHeight="false" outlineLevel="0" collapsed="false">
      <c r="A368" s="21"/>
      <c r="B368" s="22"/>
      <c r="C368" s="22"/>
      <c r="D368" s="23"/>
      <c r="E368" s="20" t="str">
        <f aca="false">IF($A368="","",IF($C368="Borç",-$D368,$D368))</f>
        <v/>
      </c>
      <c r="F368" s="18" t="str">
        <f aca="false">IF($A368="","",IFERROR(IF(INDEX(tblOrtak[Ortak Adı],ROW($A368)-ROW(tblOrtak[[#Headers],[Tarih]])-1)=$B368,INDEX(tblOrtak[Bakiye (₺)],ROW($A368)-ROW(tblOrtak[[#Headers],[Tarih]])-1)+$E368,$E368),$E368))</f>
        <v/>
      </c>
      <c r="G368" s="19" t="str">
        <f aca="false">IF($A368="","",IFERROR(IF(INDEX(tblOrtak[Tarih],ROW($A368)-ROW(tblOrtak[[#Headers],[Tarih]])+1)=0,RaporTarihi,INDEX(tblOrtak[Tarih],ROW($A368)-ROW(tblOrtak[[#Headers],[Tarih]])+1))-$A368,RaporTarihi-$A368))</f>
        <v/>
      </c>
      <c r="H368" s="18" t="n">
        <f aca="false">IF($F368="",0,ROUND($F368*$G368,0))</f>
        <v>0</v>
      </c>
      <c r="I368" s="18" t="n">
        <f aca="false">IF($H368="",0,ROUND($H368*AdatFaizOran/AdatYilGunSayisi,2))</f>
        <v>0</v>
      </c>
      <c r="J368" s="22"/>
    </row>
    <row r="369" customFormat="false" ht="15" hidden="false" customHeight="false" outlineLevel="0" collapsed="false">
      <c r="A369" s="21"/>
      <c r="B369" s="22"/>
      <c r="C369" s="22"/>
      <c r="D369" s="23"/>
      <c r="E369" s="20" t="str">
        <f aca="false">IF($A369="","",IF($C369="Borç",-$D369,$D369))</f>
        <v/>
      </c>
      <c r="F369" s="18" t="str">
        <f aca="false">IF($A369="","",IFERROR(IF(INDEX(tblOrtak[Ortak Adı],ROW($A369)-ROW(tblOrtak[[#Headers],[Tarih]])-1)=$B369,INDEX(tblOrtak[Bakiye (₺)],ROW($A369)-ROW(tblOrtak[[#Headers],[Tarih]])-1)+$E369,$E369),$E369))</f>
        <v/>
      </c>
      <c r="G369" s="19" t="str">
        <f aca="false">IF($A369="","",IFERROR(IF(INDEX(tblOrtak[Tarih],ROW($A369)-ROW(tblOrtak[[#Headers],[Tarih]])+1)=0,RaporTarihi,INDEX(tblOrtak[Tarih],ROW($A369)-ROW(tblOrtak[[#Headers],[Tarih]])+1))-$A369,RaporTarihi-$A369))</f>
        <v/>
      </c>
      <c r="H369" s="18" t="n">
        <f aca="false">IF($F369="",0,ROUND($F369*$G369,0))</f>
        <v>0</v>
      </c>
      <c r="I369" s="18" t="n">
        <f aca="false">IF($H369="",0,ROUND($H369*AdatFaizOran/AdatYilGunSayisi,2))</f>
        <v>0</v>
      </c>
      <c r="J369" s="22"/>
    </row>
    <row r="370" customFormat="false" ht="15" hidden="false" customHeight="false" outlineLevel="0" collapsed="false">
      <c r="A370" s="21"/>
      <c r="B370" s="22"/>
      <c r="C370" s="22"/>
      <c r="D370" s="23"/>
      <c r="E370" s="20" t="str">
        <f aca="false">IF($A370="","",IF($C370="Borç",-$D370,$D370))</f>
        <v/>
      </c>
      <c r="F370" s="18" t="str">
        <f aca="false">IF($A370="","",IFERROR(IF(INDEX(tblOrtak[Ortak Adı],ROW($A370)-ROW(tblOrtak[[#Headers],[Tarih]])-1)=$B370,INDEX(tblOrtak[Bakiye (₺)],ROW($A370)-ROW(tblOrtak[[#Headers],[Tarih]])-1)+$E370,$E370),$E370))</f>
        <v/>
      </c>
      <c r="G370" s="19" t="str">
        <f aca="false">IF($A370="","",IFERROR(IF(INDEX(tblOrtak[Tarih],ROW($A370)-ROW(tblOrtak[[#Headers],[Tarih]])+1)=0,RaporTarihi,INDEX(tblOrtak[Tarih],ROW($A370)-ROW(tblOrtak[[#Headers],[Tarih]])+1))-$A370,RaporTarihi-$A370))</f>
        <v/>
      </c>
      <c r="H370" s="18" t="n">
        <f aca="false">IF($F370="",0,ROUND($F370*$G370,0))</f>
        <v>0</v>
      </c>
      <c r="I370" s="18" t="n">
        <f aca="false">IF($H370="",0,ROUND($H370*AdatFaizOran/AdatYilGunSayisi,2))</f>
        <v>0</v>
      </c>
      <c r="J370" s="22"/>
    </row>
    <row r="371" customFormat="false" ht="15" hidden="false" customHeight="false" outlineLevel="0" collapsed="false">
      <c r="A371" s="21"/>
      <c r="B371" s="22"/>
      <c r="C371" s="22"/>
      <c r="D371" s="23"/>
      <c r="E371" s="20" t="str">
        <f aca="false">IF($A371="","",IF($C371="Borç",-$D371,$D371))</f>
        <v/>
      </c>
      <c r="F371" s="18" t="str">
        <f aca="false">IF($A371="","",IFERROR(IF(INDEX(tblOrtak[Ortak Adı],ROW($A371)-ROW(tblOrtak[[#Headers],[Tarih]])-1)=$B371,INDEX(tblOrtak[Bakiye (₺)],ROW($A371)-ROW(tblOrtak[[#Headers],[Tarih]])-1)+$E371,$E371),$E371))</f>
        <v/>
      </c>
      <c r="G371" s="19" t="str">
        <f aca="false">IF($A371="","",IFERROR(IF(INDEX(tblOrtak[Tarih],ROW($A371)-ROW(tblOrtak[[#Headers],[Tarih]])+1)=0,RaporTarihi,INDEX(tblOrtak[Tarih],ROW($A371)-ROW(tblOrtak[[#Headers],[Tarih]])+1))-$A371,RaporTarihi-$A371))</f>
        <v/>
      </c>
      <c r="H371" s="18" t="n">
        <f aca="false">IF($F371="",0,ROUND($F371*$G371,0))</f>
        <v>0</v>
      </c>
      <c r="I371" s="18" t="n">
        <f aca="false">IF($H371="",0,ROUND($H371*AdatFaizOran/AdatYilGunSayisi,2))</f>
        <v>0</v>
      </c>
      <c r="J371" s="22"/>
    </row>
    <row r="372" customFormat="false" ht="15" hidden="false" customHeight="false" outlineLevel="0" collapsed="false">
      <c r="A372" s="21"/>
      <c r="B372" s="22"/>
      <c r="C372" s="22"/>
      <c r="D372" s="23"/>
      <c r="E372" s="20" t="str">
        <f aca="false">IF($A372="","",IF($C372="Borç",-$D372,$D372))</f>
        <v/>
      </c>
      <c r="F372" s="18" t="str">
        <f aca="false">IF($A372="","",IFERROR(IF(INDEX(tblOrtak[Ortak Adı],ROW($A372)-ROW(tblOrtak[[#Headers],[Tarih]])-1)=$B372,INDEX(tblOrtak[Bakiye (₺)],ROW($A372)-ROW(tblOrtak[[#Headers],[Tarih]])-1)+$E372,$E372),$E372))</f>
        <v/>
      </c>
      <c r="G372" s="19" t="str">
        <f aca="false">IF($A372="","",IFERROR(IF(INDEX(tblOrtak[Tarih],ROW($A372)-ROW(tblOrtak[[#Headers],[Tarih]])+1)=0,RaporTarihi,INDEX(tblOrtak[Tarih],ROW($A372)-ROW(tblOrtak[[#Headers],[Tarih]])+1))-$A372,RaporTarihi-$A372))</f>
        <v/>
      </c>
      <c r="H372" s="18" t="n">
        <f aca="false">IF($F372="",0,ROUND($F372*$G372,0))</f>
        <v>0</v>
      </c>
      <c r="I372" s="18" t="n">
        <f aca="false">IF($H372="",0,ROUND($H372*AdatFaizOran/AdatYilGunSayisi,2))</f>
        <v>0</v>
      </c>
      <c r="J372" s="22"/>
    </row>
    <row r="373" customFormat="false" ht="15" hidden="false" customHeight="false" outlineLevel="0" collapsed="false">
      <c r="A373" s="21"/>
      <c r="B373" s="22"/>
      <c r="C373" s="22"/>
      <c r="D373" s="23"/>
      <c r="E373" s="20" t="str">
        <f aca="false">IF($A373="","",IF($C373="Borç",-$D373,$D373))</f>
        <v/>
      </c>
      <c r="F373" s="18" t="str">
        <f aca="false">IF($A373="","",IFERROR(IF(INDEX(tblOrtak[Ortak Adı],ROW($A373)-ROW(tblOrtak[[#Headers],[Tarih]])-1)=$B373,INDEX(tblOrtak[Bakiye (₺)],ROW($A373)-ROW(tblOrtak[[#Headers],[Tarih]])-1)+$E373,$E373),$E373))</f>
        <v/>
      </c>
      <c r="G373" s="19" t="str">
        <f aca="false">IF($A373="","",IFERROR(IF(INDEX(tblOrtak[Tarih],ROW($A373)-ROW(tblOrtak[[#Headers],[Tarih]])+1)=0,RaporTarihi,INDEX(tblOrtak[Tarih],ROW($A373)-ROW(tblOrtak[[#Headers],[Tarih]])+1))-$A373,RaporTarihi-$A373))</f>
        <v/>
      </c>
      <c r="H373" s="18" t="n">
        <f aca="false">IF($F373="",0,ROUND($F373*$G373,0))</f>
        <v>0</v>
      </c>
      <c r="I373" s="18" t="n">
        <f aca="false">IF($H373="",0,ROUND($H373*AdatFaizOran/AdatYilGunSayisi,2))</f>
        <v>0</v>
      </c>
      <c r="J373" s="22"/>
    </row>
    <row r="374" customFormat="false" ht="15" hidden="false" customHeight="false" outlineLevel="0" collapsed="false">
      <c r="A374" s="21"/>
      <c r="B374" s="22"/>
      <c r="C374" s="22"/>
      <c r="D374" s="23"/>
      <c r="E374" s="20" t="str">
        <f aca="false">IF($A374="","",IF($C374="Borç",-$D374,$D374))</f>
        <v/>
      </c>
      <c r="F374" s="18" t="str">
        <f aca="false">IF($A374="","",IFERROR(IF(INDEX(tblOrtak[Ortak Adı],ROW($A374)-ROW(tblOrtak[[#Headers],[Tarih]])-1)=$B374,INDEX(tblOrtak[Bakiye (₺)],ROW($A374)-ROW(tblOrtak[[#Headers],[Tarih]])-1)+$E374,$E374),$E374))</f>
        <v/>
      </c>
      <c r="G374" s="19" t="str">
        <f aca="false">IF($A374="","",IFERROR(IF(INDEX(tblOrtak[Tarih],ROW($A374)-ROW(tblOrtak[[#Headers],[Tarih]])+1)=0,RaporTarihi,INDEX(tblOrtak[Tarih],ROW($A374)-ROW(tblOrtak[[#Headers],[Tarih]])+1))-$A374,RaporTarihi-$A374))</f>
        <v/>
      </c>
      <c r="H374" s="18" t="n">
        <f aca="false">IF($F374="",0,ROUND($F374*$G374,0))</f>
        <v>0</v>
      </c>
      <c r="I374" s="18" t="n">
        <f aca="false">IF($H374="",0,ROUND($H374*AdatFaizOran/AdatYilGunSayisi,2))</f>
        <v>0</v>
      </c>
      <c r="J374" s="22"/>
    </row>
    <row r="375" customFormat="false" ht="15" hidden="false" customHeight="false" outlineLevel="0" collapsed="false">
      <c r="A375" s="21"/>
      <c r="B375" s="22"/>
      <c r="C375" s="22"/>
      <c r="D375" s="23"/>
      <c r="E375" s="20" t="str">
        <f aca="false">IF($A375="","",IF($C375="Borç",-$D375,$D375))</f>
        <v/>
      </c>
      <c r="F375" s="18" t="str">
        <f aca="false">IF($A375="","",IFERROR(IF(INDEX(tblOrtak[Ortak Adı],ROW($A375)-ROW(tblOrtak[[#Headers],[Tarih]])-1)=$B375,INDEX(tblOrtak[Bakiye (₺)],ROW($A375)-ROW(tblOrtak[[#Headers],[Tarih]])-1)+$E375,$E375),$E375))</f>
        <v/>
      </c>
      <c r="G375" s="19" t="str">
        <f aca="false">IF($A375="","",IFERROR(IF(INDEX(tblOrtak[Tarih],ROW($A375)-ROW(tblOrtak[[#Headers],[Tarih]])+1)=0,RaporTarihi,INDEX(tblOrtak[Tarih],ROW($A375)-ROW(tblOrtak[[#Headers],[Tarih]])+1))-$A375,RaporTarihi-$A375))</f>
        <v/>
      </c>
      <c r="H375" s="18" t="n">
        <f aca="false">IF($F375="",0,ROUND($F375*$G375,0))</f>
        <v>0</v>
      </c>
      <c r="I375" s="18" t="n">
        <f aca="false">IF($H375="",0,ROUND($H375*AdatFaizOran/AdatYilGunSayisi,2))</f>
        <v>0</v>
      </c>
      <c r="J375" s="22"/>
    </row>
    <row r="376" customFormat="false" ht="15" hidden="false" customHeight="false" outlineLevel="0" collapsed="false">
      <c r="A376" s="21"/>
      <c r="B376" s="22"/>
      <c r="C376" s="22"/>
      <c r="D376" s="23"/>
      <c r="E376" s="20" t="str">
        <f aca="false">IF($A376="","",IF($C376="Borç",-$D376,$D376))</f>
        <v/>
      </c>
      <c r="F376" s="18" t="str">
        <f aca="false">IF($A376="","",IFERROR(IF(INDEX(tblOrtak[Ortak Adı],ROW($A376)-ROW(tblOrtak[[#Headers],[Tarih]])-1)=$B376,INDEX(tblOrtak[Bakiye (₺)],ROW($A376)-ROW(tblOrtak[[#Headers],[Tarih]])-1)+$E376,$E376),$E376))</f>
        <v/>
      </c>
      <c r="G376" s="19" t="str">
        <f aca="false">IF($A376="","",IFERROR(IF(INDEX(tblOrtak[Tarih],ROW($A376)-ROW(tblOrtak[[#Headers],[Tarih]])+1)=0,RaporTarihi,INDEX(tblOrtak[Tarih],ROW($A376)-ROW(tblOrtak[[#Headers],[Tarih]])+1))-$A376,RaporTarihi-$A376))</f>
        <v/>
      </c>
      <c r="H376" s="18" t="n">
        <f aca="false">IF($F376="",0,ROUND($F376*$G376,0))</f>
        <v>0</v>
      </c>
      <c r="I376" s="18" t="n">
        <f aca="false">IF($H376="",0,ROUND($H376*AdatFaizOran/AdatYilGunSayisi,2))</f>
        <v>0</v>
      </c>
      <c r="J376" s="22"/>
    </row>
    <row r="377" customFormat="false" ht="15" hidden="false" customHeight="false" outlineLevel="0" collapsed="false">
      <c r="A377" s="21"/>
      <c r="B377" s="22"/>
      <c r="C377" s="22"/>
      <c r="D377" s="23"/>
      <c r="E377" s="20" t="str">
        <f aca="false">IF($A377="","",IF($C377="Borç",-$D377,$D377))</f>
        <v/>
      </c>
      <c r="F377" s="18" t="str">
        <f aca="false">IF($A377="","",IFERROR(IF(INDEX(tblOrtak[Ortak Adı],ROW($A377)-ROW(tblOrtak[[#Headers],[Tarih]])-1)=$B377,INDEX(tblOrtak[Bakiye (₺)],ROW($A377)-ROW(tblOrtak[[#Headers],[Tarih]])-1)+$E377,$E377),$E377))</f>
        <v/>
      </c>
      <c r="G377" s="19" t="str">
        <f aca="false">IF($A377="","",IFERROR(IF(INDEX(tblOrtak[Tarih],ROW($A377)-ROW(tblOrtak[[#Headers],[Tarih]])+1)=0,RaporTarihi,INDEX(tblOrtak[Tarih],ROW($A377)-ROW(tblOrtak[[#Headers],[Tarih]])+1))-$A377,RaporTarihi-$A377))</f>
        <v/>
      </c>
      <c r="H377" s="18" t="n">
        <f aca="false">IF($F377="",0,ROUND($F377*$G377,0))</f>
        <v>0</v>
      </c>
      <c r="I377" s="18" t="n">
        <f aca="false">IF($H377="",0,ROUND($H377*AdatFaizOran/AdatYilGunSayisi,2))</f>
        <v>0</v>
      </c>
      <c r="J377" s="22"/>
    </row>
    <row r="378" customFormat="false" ht="15" hidden="false" customHeight="false" outlineLevel="0" collapsed="false">
      <c r="A378" s="21"/>
      <c r="B378" s="22"/>
      <c r="C378" s="22"/>
      <c r="D378" s="23"/>
      <c r="E378" s="20" t="str">
        <f aca="false">IF($A378="","",IF($C378="Borç",-$D378,$D378))</f>
        <v/>
      </c>
      <c r="F378" s="18" t="str">
        <f aca="false">IF($A378="","",IFERROR(IF(INDEX(tblOrtak[Ortak Adı],ROW($A378)-ROW(tblOrtak[[#Headers],[Tarih]])-1)=$B378,INDEX(tblOrtak[Bakiye (₺)],ROW($A378)-ROW(tblOrtak[[#Headers],[Tarih]])-1)+$E378,$E378),$E378))</f>
        <v/>
      </c>
      <c r="G378" s="19" t="str">
        <f aca="false">IF($A378="","",IFERROR(IF(INDEX(tblOrtak[Tarih],ROW($A378)-ROW(tblOrtak[[#Headers],[Tarih]])+1)=0,RaporTarihi,INDEX(tblOrtak[Tarih],ROW($A378)-ROW(tblOrtak[[#Headers],[Tarih]])+1))-$A378,RaporTarihi-$A378))</f>
        <v/>
      </c>
      <c r="H378" s="18" t="n">
        <f aca="false">IF($F378="",0,ROUND($F378*$G378,0))</f>
        <v>0</v>
      </c>
      <c r="I378" s="18" t="n">
        <f aca="false">IF($H378="",0,ROUND($H378*AdatFaizOran/AdatYilGunSayisi,2))</f>
        <v>0</v>
      </c>
      <c r="J378" s="22"/>
    </row>
    <row r="379" customFormat="false" ht="15" hidden="false" customHeight="false" outlineLevel="0" collapsed="false">
      <c r="A379" s="21"/>
      <c r="B379" s="22"/>
      <c r="C379" s="22"/>
      <c r="D379" s="23"/>
      <c r="E379" s="20" t="str">
        <f aca="false">IF($A379="","",IF($C379="Borç",-$D379,$D379))</f>
        <v/>
      </c>
      <c r="F379" s="18" t="str">
        <f aca="false">IF($A379="","",IFERROR(IF(INDEX(tblOrtak[Ortak Adı],ROW($A379)-ROW(tblOrtak[[#Headers],[Tarih]])-1)=$B379,INDEX(tblOrtak[Bakiye (₺)],ROW($A379)-ROW(tblOrtak[[#Headers],[Tarih]])-1)+$E379,$E379),$E379))</f>
        <v/>
      </c>
      <c r="G379" s="19" t="str">
        <f aca="false">IF($A379="","",IFERROR(IF(INDEX(tblOrtak[Tarih],ROW($A379)-ROW(tblOrtak[[#Headers],[Tarih]])+1)=0,RaporTarihi,INDEX(tblOrtak[Tarih],ROW($A379)-ROW(tblOrtak[[#Headers],[Tarih]])+1))-$A379,RaporTarihi-$A379))</f>
        <v/>
      </c>
      <c r="H379" s="18" t="n">
        <f aca="false">IF($F379="",0,ROUND($F379*$G379,0))</f>
        <v>0</v>
      </c>
      <c r="I379" s="18" t="n">
        <f aca="false">IF($H379="",0,ROUND($H379*AdatFaizOran/AdatYilGunSayisi,2))</f>
        <v>0</v>
      </c>
      <c r="J379" s="22"/>
    </row>
    <row r="380" customFormat="false" ht="15" hidden="false" customHeight="false" outlineLevel="0" collapsed="false">
      <c r="A380" s="21"/>
      <c r="B380" s="22"/>
      <c r="C380" s="22"/>
      <c r="D380" s="23"/>
      <c r="E380" s="20" t="str">
        <f aca="false">IF($A380="","",IF($C380="Borç",-$D380,$D380))</f>
        <v/>
      </c>
      <c r="F380" s="18" t="str">
        <f aca="false">IF($A380="","",IFERROR(IF(INDEX(tblOrtak[Ortak Adı],ROW($A380)-ROW(tblOrtak[[#Headers],[Tarih]])-1)=$B380,INDEX(tblOrtak[Bakiye (₺)],ROW($A380)-ROW(tblOrtak[[#Headers],[Tarih]])-1)+$E380,$E380),$E380))</f>
        <v/>
      </c>
      <c r="G380" s="19" t="str">
        <f aca="false">IF($A380="","",IFERROR(IF(INDEX(tblOrtak[Tarih],ROW($A380)-ROW(tblOrtak[[#Headers],[Tarih]])+1)=0,RaporTarihi,INDEX(tblOrtak[Tarih],ROW($A380)-ROW(tblOrtak[[#Headers],[Tarih]])+1))-$A380,RaporTarihi-$A380))</f>
        <v/>
      </c>
      <c r="H380" s="18" t="n">
        <f aca="false">IF($F380="",0,ROUND($F380*$G380,0))</f>
        <v>0</v>
      </c>
      <c r="I380" s="18" t="n">
        <f aca="false">IF($H380="",0,ROUND($H380*AdatFaizOran/AdatYilGunSayisi,2))</f>
        <v>0</v>
      </c>
      <c r="J380" s="22"/>
    </row>
    <row r="381" customFormat="false" ht="15" hidden="false" customHeight="false" outlineLevel="0" collapsed="false">
      <c r="A381" s="21"/>
      <c r="B381" s="22"/>
      <c r="C381" s="22"/>
      <c r="D381" s="23"/>
      <c r="E381" s="20" t="str">
        <f aca="false">IF($A381="","",IF($C381="Borç",-$D381,$D381))</f>
        <v/>
      </c>
      <c r="F381" s="18" t="str">
        <f aca="false">IF($A381="","",IFERROR(IF(INDEX(tblOrtak[Ortak Adı],ROW($A381)-ROW(tblOrtak[[#Headers],[Tarih]])-1)=$B381,INDEX(tblOrtak[Bakiye (₺)],ROW($A381)-ROW(tblOrtak[[#Headers],[Tarih]])-1)+$E381,$E381),$E381))</f>
        <v/>
      </c>
      <c r="G381" s="19" t="str">
        <f aca="false">IF($A381="","",IFERROR(IF(INDEX(tblOrtak[Tarih],ROW($A381)-ROW(tblOrtak[[#Headers],[Tarih]])+1)=0,RaporTarihi,INDEX(tblOrtak[Tarih],ROW($A381)-ROW(tblOrtak[[#Headers],[Tarih]])+1))-$A381,RaporTarihi-$A381))</f>
        <v/>
      </c>
      <c r="H381" s="18" t="n">
        <f aca="false">IF($F381="",0,ROUND($F381*$G381,0))</f>
        <v>0</v>
      </c>
      <c r="I381" s="18" t="n">
        <f aca="false">IF($H381="",0,ROUND($H381*AdatFaizOran/AdatYilGunSayisi,2))</f>
        <v>0</v>
      </c>
      <c r="J381" s="22"/>
    </row>
    <row r="382" customFormat="false" ht="15" hidden="false" customHeight="false" outlineLevel="0" collapsed="false">
      <c r="A382" s="21"/>
      <c r="B382" s="22"/>
      <c r="C382" s="22"/>
      <c r="D382" s="23"/>
      <c r="E382" s="20" t="str">
        <f aca="false">IF($A382="","",IF($C382="Borç",-$D382,$D382))</f>
        <v/>
      </c>
      <c r="F382" s="18" t="str">
        <f aca="false">IF($A382="","",IFERROR(IF(INDEX(tblOrtak[Ortak Adı],ROW($A382)-ROW(tblOrtak[[#Headers],[Tarih]])-1)=$B382,INDEX(tblOrtak[Bakiye (₺)],ROW($A382)-ROW(tblOrtak[[#Headers],[Tarih]])-1)+$E382,$E382),$E382))</f>
        <v/>
      </c>
      <c r="G382" s="19" t="str">
        <f aca="false">IF($A382="","",IFERROR(IF(INDEX(tblOrtak[Tarih],ROW($A382)-ROW(tblOrtak[[#Headers],[Tarih]])+1)=0,RaporTarihi,INDEX(tblOrtak[Tarih],ROW($A382)-ROW(tblOrtak[[#Headers],[Tarih]])+1))-$A382,RaporTarihi-$A382))</f>
        <v/>
      </c>
      <c r="H382" s="18" t="n">
        <f aca="false">IF($F382="",0,ROUND($F382*$G382,0))</f>
        <v>0</v>
      </c>
      <c r="I382" s="18" t="n">
        <f aca="false">IF($H382="",0,ROUND($H382*AdatFaizOran/AdatYilGunSayisi,2))</f>
        <v>0</v>
      </c>
      <c r="J382" s="22"/>
    </row>
    <row r="383" customFormat="false" ht="15" hidden="false" customHeight="false" outlineLevel="0" collapsed="false">
      <c r="A383" s="21"/>
      <c r="B383" s="22"/>
      <c r="C383" s="22"/>
      <c r="D383" s="23"/>
      <c r="E383" s="20" t="str">
        <f aca="false">IF($A383="","",IF($C383="Borç",-$D383,$D383))</f>
        <v/>
      </c>
      <c r="F383" s="18" t="str">
        <f aca="false">IF($A383="","",IFERROR(IF(INDEX(tblOrtak[Ortak Adı],ROW($A383)-ROW(tblOrtak[[#Headers],[Tarih]])-1)=$B383,INDEX(tblOrtak[Bakiye (₺)],ROW($A383)-ROW(tblOrtak[[#Headers],[Tarih]])-1)+$E383,$E383),$E383))</f>
        <v/>
      </c>
      <c r="G383" s="19" t="str">
        <f aca="false">IF($A383="","",IFERROR(IF(INDEX(tblOrtak[Tarih],ROW($A383)-ROW(tblOrtak[[#Headers],[Tarih]])+1)=0,RaporTarihi,INDEX(tblOrtak[Tarih],ROW($A383)-ROW(tblOrtak[[#Headers],[Tarih]])+1))-$A383,RaporTarihi-$A383))</f>
        <v/>
      </c>
      <c r="H383" s="18" t="n">
        <f aca="false">IF($F383="",0,ROUND($F383*$G383,0))</f>
        <v>0</v>
      </c>
      <c r="I383" s="18" t="n">
        <f aca="false">IF($H383="",0,ROUND($H383*AdatFaizOran/AdatYilGunSayisi,2))</f>
        <v>0</v>
      </c>
      <c r="J383" s="22"/>
    </row>
    <row r="384" customFormat="false" ht="15" hidden="false" customHeight="false" outlineLevel="0" collapsed="false">
      <c r="A384" s="21"/>
      <c r="B384" s="22"/>
      <c r="C384" s="22"/>
      <c r="D384" s="23"/>
      <c r="E384" s="20" t="str">
        <f aca="false">IF($A384="","",IF($C384="Borç",-$D384,$D384))</f>
        <v/>
      </c>
      <c r="F384" s="18" t="str">
        <f aca="false">IF($A384="","",IFERROR(IF(INDEX(tblOrtak[Ortak Adı],ROW($A384)-ROW(tblOrtak[[#Headers],[Tarih]])-1)=$B384,INDEX(tblOrtak[Bakiye (₺)],ROW($A384)-ROW(tblOrtak[[#Headers],[Tarih]])-1)+$E384,$E384),$E384))</f>
        <v/>
      </c>
      <c r="G384" s="19" t="str">
        <f aca="false">IF($A384="","",IFERROR(IF(INDEX(tblOrtak[Tarih],ROW($A384)-ROW(tblOrtak[[#Headers],[Tarih]])+1)=0,RaporTarihi,INDEX(tblOrtak[Tarih],ROW($A384)-ROW(tblOrtak[[#Headers],[Tarih]])+1))-$A384,RaporTarihi-$A384))</f>
        <v/>
      </c>
      <c r="H384" s="18" t="n">
        <f aca="false">IF($F384="",0,ROUND($F384*$G384,0))</f>
        <v>0</v>
      </c>
      <c r="I384" s="18" t="n">
        <f aca="false">IF($H384="",0,ROUND($H384*AdatFaizOran/AdatYilGunSayisi,2))</f>
        <v>0</v>
      </c>
      <c r="J384" s="22"/>
    </row>
    <row r="385" customFormat="false" ht="15" hidden="false" customHeight="false" outlineLevel="0" collapsed="false">
      <c r="A385" s="21"/>
      <c r="B385" s="22"/>
      <c r="C385" s="22"/>
      <c r="D385" s="23"/>
      <c r="E385" s="20" t="str">
        <f aca="false">IF($A385="","",IF($C385="Borç",-$D385,$D385))</f>
        <v/>
      </c>
      <c r="F385" s="18" t="str">
        <f aca="false">IF($A385="","",IFERROR(IF(INDEX(tblOrtak[Ortak Adı],ROW($A385)-ROW(tblOrtak[[#Headers],[Tarih]])-1)=$B385,INDEX(tblOrtak[Bakiye (₺)],ROW($A385)-ROW(tblOrtak[[#Headers],[Tarih]])-1)+$E385,$E385),$E385))</f>
        <v/>
      </c>
      <c r="G385" s="19" t="str">
        <f aca="false">IF($A385="","",IFERROR(IF(INDEX(tblOrtak[Tarih],ROW($A385)-ROW(tblOrtak[[#Headers],[Tarih]])+1)=0,RaporTarihi,INDEX(tblOrtak[Tarih],ROW($A385)-ROW(tblOrtak[[#Headers],[Tarih]])+1))-$A385,RaporTarihi-$A385))</f>
        <v/>
      </c>
      <c r="H385" s="18" t="n">
        <f aca="false">IF($F385="",0,ROUND($F385*$G385,0))</f>
        <v>0</v>
      </c>
      <c r="I385" s="18" t="n">
        <f aca="false">IF($H385="",0,ROUND($H385*AdatFaizOran/AdatYilGunSayisi,2))</f>
        <v>0</v>
      </c>
      <c r="J385" s="22"/>
    </row>
    <row r="386" customFormat="false" ht="15" hidden="false" customHeight="false" outlineLevel="0" collapsed="false">
      <c r="A386" s="21"/>
      <c r="B386" s="22"/>
      <c r="C386" s="22"/>
      <c r="D386" s="23"/>
      <c r="E386" s="20" t="str">
        <f aca="false">IF($A386="","",IF($C386="Borç",-$D386,$D386))</f>
        <v/>
      </c>
      <c r="F386" s="18" t="str">
        <f aca="false">IF($A386="","",IFERROR(IF(INDEX(tblOrtak[Ortak Adı],ROW($A386)-ROW(tblOrtak[[#Headers],[Tarih]])-1)=$B386,INDEX(tblOrtak[Bakiye (₺)],ROW($A386)-ROW(tblOrtak[[#Headers],[Tarih]])-1)+$E386,$E386),$E386))</f>
        <v/>
      </c>
      <c r="G386" s="19" t="str">
        <f aca="false">IF($A386="","",IFERROR(IF(INDEX(tblOrtak[Tarih],ROW($A386)-ROW(tblOrtak[[#Headers],[Tarih]])+1)=0,RaporTarihi,INDEX(tblOrtak[Tarih],ROW($A386)-ROW(tblOrtak[[#Headers],[Tarih]])+1))-$A386,RaporTarihi-$A386))</f>
        <v/>
      </c>
      <c r="H386" s="18" t="n">
        <f aca="false">IF($F386="",0,ROUND($F386*$G386,0))</f>
        <v>0</v>
      </c>
      <c r="I386" s="18" t="n">
        <f aca="false">IF($H386="",0,ROUND($H386*AdatFaizOran/AdatYilGunSayisi,2))</f>
        <v>0</v>
      </c>
      <c r="J386" s="22"/>
    </row>
    <row r="387" customFormat="false" ht="15" hidden="false" customHeight="false" outlineLevel="0" collapsed="false">
      <c r="A387" s="21"/>
      <c r="B387" s="22"/>
      <c r="C387" s="22"/>
      <c r="D387" s="23"/>
      <c r="E387" s="20" t="str">
        <f aca="false">IF($A387="","",IF($C387="Borç",-$D387,$D387))</f>
        <v/>
      </c>
      <c r="F387" s="18" t="str">
        <f aca="false">IF($A387="","",IFERROR(IF(INDEX(tblOrtak[Ortak Adı],ROW($A387)-ROW(tblOrtak[[#Headers],[Tarih]])-1)=$B387,INDEX(tblOrtak[Bakiye (₺)],ROW($A387)-ROW(tblOrtak[[#Headers],[Tarih]])-1)+$E387,$E387),$E387))</f>
        <v/>
      </c>
      <c r="G387" s="19" t="str">
        <f aca="false">IF($A387="","",IFERROR(IF(INDEX(tblOrtak[Tarih],ROW($A387)-ROW(tblOrtak[[#Headers],[Tarih]])+1)=0,RaporTarihi,INDEX(tblOrtak[Tarih],ROW($A387)-ROW(tblOrtak[[#Headers],[Tarih]])+1))-$A387,RaporTarihi-$A387))</f>
        <v/>
      </c>
      <c r="H387" s="18" t="n">
        <f aca="false">IF($F387="",0,ROUND($F387*$G387,0))</f>
        <v>0</v>
      </c>
      <c r="I387" s="18" t="n">
        <f aca="false">IF($H387="",0,ROUND($H387*AdatFaizOran/AdatYilGunSayisi,2))</f>
        <v>0</v>
      </c>
      <c r="J387" s="22"/>
    </row>
    <row r="388" customFormat="false" ht="15" hidden="false" customHeight="false" outlineLevel="0" collapsed="false">
      <c r="A388" s="21"/>
      <c r="B388" s="22"/>
      <c r="C388" s="22"/>
      <c r="D388" s="23"/>
      <c r="E388" s="20" t="str">
        <f aca="false">IF($A388="","",IF($C388="Borç",-$D388,$D388))</f>
        <v/>
      </c>
      <c r="F388" s="18" t="str">
        <f aca="false">IF($A388="","",IFERROR(IF(INDEX(tblOrtak[Ortak Adı],ROW($A388)-ROW(tblOrtak[[#Headers],[Tarih]])-1)=$B388,INDEX(tblOrtak[Bakiye (₺)],ROW($A388)-ROW(tblOrtak[[#Headers],[Tarih]])-1)+$E388,$E388),$E388))</f>
        <v/>
      </c>
      <c r="G388" s="19" t="str">
        <f aca="false">IF($A388="","",IFERROR(IF(INDEX(tblOrtak[Tarih],ROW($A388)-ROW(tblOrtak[[#Headers],[Tarih]])+1)=0,RaporTarihi,INDEX(tblOrtak[Tarih],ROW($A388)-ROW(tblOrtak[[#Headers],[Tarih]])+1))-$A388,RaporTarihi-$A388))</f>
        <v/>
      </c>
      <c r="H388" s="18" t="n">
        <f aca="false">IF($F388="",0,ROUND($F388*$G388,0))</f>
        <v>0</v>
      </c>
      <c r="I388" s="18" t="n">
        <f aca="false">IF($H388="",0,ROUND($H388*AdatFaizOran/AdatYilGunSayisi,2))</f>
        <v>0</v>
      </c>
      <c r="J388" s="22"/>
    </row>
    <row r="389" customFormat="false" ht="15" hidden="false" customHeight="false" outlineLevel="0" collapsed="false">
      <c r="A389" s="21"/>
      <c r="B389" s="22"/>
      <c r="C389" s="22"/>
      <c r="D389" s="23"/>
      <c r="E389" s="20" t="str">
        <f aca="false">IF($A389="","",IF($C389="Borç",-$D389,$D389))</f>
        <v/>
      </c>
      <c r="F389" s="18" t="str">
        <f aca="false">IF($A389="","",IFERROR(IF(INDEX(tblOrtak[Ortak Adı],ROW($A389)-ROW(tblOrtak[[#Headers],[Tarih]])-1)=$B389,INDEX(tblOrtak[Bakiye (₺)],ROW($A389)-ROW(tblOrtak[[#Headers],[Tarih]])-1)+$E389,$E389),$E389))</f>
        <v/>
      </c>
      <c r="G389" s="19" t="str">
        <f aca="false">IF($A389="","",IFERROR(IF(INDEX(tblOrtak[Tarih],ROW($A389)-ROW(tblOrtak[[#Headers],[Tarih]])+1)=0,RaporTarihi,INDEX(tblOrtak[Tarih],ROW($A389)-ROW(tblOrtak[[#Headers],[Tarih]])+1))-$A389,RaporTarihi-$A389))</f>
        <v/>
      </c>
      <c r="H389" s="18" t="n">
        <f aca="false">IF($F389="",0,ROUND($F389*$G389,0))</f>
        <v>0</v>
      </c>
      <c r="I389" s="18" t="n">
        <f aca="false">IF($H389="",0,ROUND($H389*AdatFaizOran/AdatYilGunSayisi,2))</f>
        <v>0</v>
      </c>
      <c r="J389" s="22"/>
    </row>
    <row r="390" customFormat="false" ht="15" hidden="false" customHeight="false" outlineLevel="0" collapsed="false">
      <c r="A390" s="21"/>
      <c r="B390" s="22"/>
      <c r="C390" s="22"/>
      <c r="D390" s="23"/>
      <c r="E390" s="20" t="str">
        <f aca="false">IF($A390="","",IF($C390="Borç",-$D390,$D390))</f>
        <v/>
      </c>
      <c r="F390" s="18" t="str">
        <f aca="false">IF($A390="","",IFERROR(IF(INDEX(tblOrtak[Ortak Adı],ROW($A390)-ROW(tblOrtak[[#Headers],[Tarih]])-1)=$B390,INDEX(tblOrtak[Bakiye (₺)],ROW($A390)-ROW(tblOrtak[[#Headers],[Tarih]])-1)+$E390,$E390),$E390))</f>
        <v/>
      </c>
      <c r="G390" s="19" t="str">
        <f aca="false">IF($A390="","",IFERROR(IF(INDEX(tblOrtak[Tarih],ROW($A390)-ROW(tblOrtak[[#Headers],[Tarih]])+1)=0,RaporTarihi,INDEX(tblOrtak[Tarih],ROW($A390)-ROW(tblOrtak[[#Headers],[Tarih]])+1))-$A390,RaporTarihi-$A390))</f>
        <v/>
      </c>
      <c r="H390" s="18" t="n">
        <f aca="false">IF($F390="",0,ROUND($F390*$G390,0))</f>
        <v>0</v>
      </c>
      <c r="I390" s="18" t="n">
        <f aca="false">IF($H390="",0,ROUND($H390*AdatFaizOran/AdatYilGunSayisi,2))</f>
        <v>0</v>
      </c>
      <c r="J390" s="22"/>
    </row>
    <row r="391" customFormat="false" ht="15" hidden="false" customHeight="false" outlineLevel="0" collapsed="false">
      <c r="A391" s="21"/>
      <c r="B391" s="22"/>
      <c r="C391" s="22"/>
      <c r="D391" s="23"/>
      <c r="E391" s="20" t="str">
        <f aca="false">IF($A391="","",IF($C391="Borç",-$D391,$D391))</f>
        <v/>
      </c>
      <c r="F391" s="18" t="str">
        <f aca="false">IF($A391="","",IFERROR(IF(INDEX(tblOrtak[Ortak Adı],ROW($A391)-ROW(tblOrtak[[#Headers],[Tarih]])-1)=$B391,INDEX(tblOrtak[Bakiye (₺)],ROW($A391)-ROW(tblOrtak[[#Headers],[Tarih]])-1)+$E391,$E391),$E391))</f>
        <v/>
      </c>
      <c r="G391" s="19" t="str">
        <f aca="false">IF($A391="","",IFERROR(IF(INDEX(tblOrtak[Tarih],ROW($A391)-ROW(tblOrtak[[#Headers],[Tarih]])+1)=0,RaporTarihi,INDEX(tblOrtak[Tarih],ROW($A391)-ROW(tblOrtak[[#Headers],[Tarih]])+1))-$A391,RaporTarihi-$A391))</f>
        <v/>
      </c>
      <c r="H391" s="18" t="n">
        <f aca="false">IF($F391="",0,ROUND($F391*$G391,0))</f>
        <v>0</v>
      </c>
      <c r="I391" s="18" t="n">
        <f aca="false">IF($H391="",0,ROUND($H391*AdatFaizOran/AdatYilGunSayisi,2))</f>
        <v>0</v>
      </c>
      <c r="J391" s="22"/>
    </row>
    <row r="392" customFormat="false" ht="15" hidden="false" customHeight="false" outlineLevel="0" collapsed="false">
      <c r="A392" s="21"/>
      <c r="B392" s="22"/>
      <c r="C392" s="22"/>
      <c r="D392" s="23"/>
      <c r="E392" s="20" t="str">
        <f aca="false">IF($A392="","",IF($C392="Borç",-$D392,$D392))</f>
        <v/>
      </c>
      <c r="F392" s="18" t="str">
        <f aca="false">IF($A392="","",IFERROR(IF(INDEX(tblOrtak[Ortak Adı],ROW($A392)-ROW(tblOrtak[[#Headers],[Tarih]])-1)=$B392,INDEX(tblOrtak[Bakiye (₺)],ROW($A392)-ROW(tblOrtak[[#Headers],[Tarih]])-1)+$E392,$E392),$E392))</f>
        <v/>
      </c>
      <c r="G392" s="19" t="str">
        <f aca="false">IF($A392="","",IFERROR(IF(INDEX(tblOrtak[Tarih],ROW($A392)-ROW(tblOrtak[[#Headers],[Tarih]])+1)=0,RaporTarihi,INDEX(tblOrtak[Tarih],ROW($A392)-ROW(tblOrtak[[#Headers],[Tarih]])+1))-$A392,RaporTarihi-$A392))</f>
        <v/>
      </c>
      <c r="H392" s="18" t="n">
        <f aca="false">IF($F392="",0,ROUND($F392*$G392,0))</f>
        <v>0</v>
      </c>
      <c r="I392" s="18" t="n">
        <f aca="false">IF($H392="",0,ROUND($H392*AdatFaizOran/AdatYilGunSayisi,2))</f>
        <v>0</v>
      </c>
      <c r="J392" s="22"/>
    </row>
    <row r="393" customFormat="false" ht="15" hidden="false" customHeight="false" outlineLevel="0" collapsed="false">
      <c r="A393" s="21"/>
      <c r="B393" s="22"/>
      <c r="C393" s="22"/>
      <c r="D393" s="23"/>
      <c r="E393" s="20" t="str">
        <f aca="false">IF($A393="","",IF($C393="Borç",-$D393,$D393))</f>
        <v/>
      </c>
      <c r="F393" s="18" t="str">
        <f aca="false">IF($A393="","",IFERROR(IF(INDEX(tblOrtak[Ortak Adı],ROW($A393)-ROW(tblOrtak[[#Headers],[Tarih]])-1)=$B393,INDEX(tblOrtak[Bakiye (₺)],ROW($A393)-ROW(tblOrtak[[#Headers],[Tarih]])-1)+$E393,$E393),$E393))</f>
        <v/>
      </c>
      <c r="G393" s="19" t="str">
        <f aca="false">IF($A393="","",IFERROR(IF(INDEX(tblOrtak[Tarih],ROW($A393)-ROW(tblOrtak[[#Headers],[Tarih]])+1)=0,RaporTarihi,INDEX(tblOrtak[Tarih],ROW($A393)-ROW(tblOrtak[[#Headers],[Tarih]])+1))-$A393,RaporTarihi-$A393))</f>
        <v/>
      </c>
      <c r="H393" s="18" t="n">
        <f aca="false">IF($F393="",0,ROUND($F393*$G393,0))</f>
        <v>0</v>
      </c>
      <c r="I393" s="18" t="n">
        <f aca="false">IF($H393="",0,ROUND($H393*AdatFaizOran/AdatYilGunSayisi,2))</f>
        <v>0</v>
      </c>
      <c r="J393" s="22"/>
    </row>
    <row r="394" customFormat="false" ht="15" hidden="false" customHeight="false" outlineLevel="0" collapsed="false">
      <c r="A394" s="21"/>
      <c r="B394" s="22"/>
      <c r="C394" s="22"/>
      <c r="D394" s="23"/>
      <c r="E394" s="20" t="str">
        <f aca="false">IF($A394="","",IF($C394="Borç",-$D394,$D394))</f>
        <v/>
      </c>
      <c r="F394" s="18" t="str">
        <f aca="false">IF($A394="","",IFERROR(IF(INDEX(tblOrtak[Ortak Adı],ROW($A394)-ROW(tblOrtak[[#Headers],[Tarih]])-1)=$B394,INDEX(tblOrtak[Bakiye (₺)],ROW($A394)-ROW(tblOrtak[[#Headers],[Tarih]])-1)+$E394,$E394),$E394))</f>
        <v/>
      </c>
      <c r="G394" s="19" t="str">
        <f aca="false">IF($A394="","",IFERROR(IF(INDEX(tblOrtak[Tarih],ROW($A394)-ROW(tblOrtak[[#Headers],[Tarih]])+1)=0,RaporTarihi,INDEX(tblOrtak[Tarih],ROW($A394)-ROW(tblOrtak[[#Headers],[Tarih]])+1))-$A394,RaporTarihi-$A394))</f>
        <v/>
      </c>
      <c r="H394" s="18" t="n">
        <f aca="false">IF($F394="",0,ROUND($F394*$G394,0))</f>
        <v>0</v>
      </c>
      <c r="I394" s="18" t="n">
        <f aca="false">IF($H394="",0,ROUND($H394*AdatFaizOran/AdatYilGunSayisi,2))</f>
        <v>0</v>
      </c>
      <c r="J394" s="22"/>
    </row>
    <row r="395" customFormat="false" ht="15" hidden="false" customHeight="false" outlineLevel="0" collapsed="false">
      <c r="A395" s="21"/>
      <c r="B395" s="22"/>
      <c r="C395" s="22"/>
      <c r="D395" s="23"/>
      <c r="E395" s="20" t="str">
        <f aca="false">IF($A395="","",IF($C395="Borç",-$D395,$D395))</f>
        <v/>
      </c>
      <c r="F395" s="18" t="str">
        <f aca="false">IF($A395="","",IFERROR(IF(INDEX(tblOrtak[Ortak Adı],ROW($A395)-ROW(tblOrtak[[#Headers],[Tarih]])-1)=$B395,INDEX(tblOrtak[Bakiye (₺)],ROW($A395)-ROW(tblOrtak[[#Headers],[Tarih]])-1)+$E395,$E395),$E395))</f>
        <v/>
      </c>
      <c r="G395" s="19" t="str">
        <f aca="false">IF($A395="","",IFERROR(IF(INDEX(tblOrtak[Tarih],ROW($A395)-ROW(tblOrtak[[#Headers],[Tarih]])+1)=0,RaporTarihi,INDEX(tblOrtak[Tarih],ROW($A395)-ROW(tblOrtak[[#Headers],[Tarih]])+1))-$A395,RaporTarihi-$A395))</f>
        <v/>
      </c>
      <c r="H395" s="18" t="n">
        <f aca="false">IF($F395="",0,ROUND($F395*$G395,0))</f>
        <v>0</v>
      </c>
      <c r="I395" s="18" t="n">
        <f aca="false">IF($H395="",0,ROUND($H395*AdatFaizOran/AdatYilGunSayisi,2))</f>
        <v>0</v>
      </c>
      <c r="J395" s="22"/>
    </row>
    <row r="396" customFormat="false" ht="15" hidden="false" customHeight="false" outlineLevel="0" collapsed="false">
      <c r="A396" s="21"/>
      <c r="B396" s="22"/>
      <c r="C396" s="22"/>
      <c r="D396" s="23"/>
      <c r="E396" s="20" t="str">
        <f aca="false">IF($A396="","",IF($C396="Borç",-$D396,$D396))</f>
        <v/>
      </c>
      <c r="F396" s="18" t="str">
        <f aca="false">IF($A396="","",IFERROR(IF(INDEX(tblOrtak[Ortak Adı],ROW($A396)-ROW(tblOrtak[[#Headers],[Tarih]])-1)=$B396,INDEX(tblOrtak[Bakiye (₺)],ROW($A396)-ROW(tblOrtak[[#Headers],[Tarih]])-1)+$E396,$E396),$E396))</f>
        <v/>
      </c>
      <c r="G396" s="19" t="str">
        <f aca="false">IF($A396="","",IFERROR(IF(INDEX(tblOrtak[Tarih],ROW($A396)-ROW(tblOrtak[[#Headers],[Tarih]])+1)=0,RaporTarihi,INDEX(tblOrtak[Tarih],ROW($A396)-ROW(tblOrtak[[#Headers],[Tarih]])+1))-$A396,RaporTarihi-$A396))</f>
        <v/>
      </c>
      <c r="H396" s="18" t="n">
        <f aca="false">IF($F396="",0,ROUND($F396*$G396,0))</f>
        <v>0</v>
      </c>
      <c r="I396" s="18" t="n">
        <f aca="false">IF($H396="",0,ROUND($H396*AdatFaizOran/AdatYilGunSayisi,2))</f>
        <v>0</v>
      </c>
      <c r="J396" s="22"/>
    </row>
    <row r="397" customFormat="false" ht="15" hidden="false" customHeight="false" outlineLevel="0" collapsed="false">
      <c r="A397" s="21"/>
      <c r="B397" s="22"/>
      <c r="C397" s="22"/>
      <c r="D397" s="23"/>
      <c r="E397" s="20" t="str">
        <f aca="false">IF($A397="","",IF($C397="Borç",-$D397,$D397))</f>
        <v/>
      </c>
      <c r="F397" s="18" t="str">
        <f aca="false">IF($A397="","",IFERROR(IF(INDEX(tblOrtak[Ortak Adı],ROW($A397)-ROW(tblOrtak[[#Headers],[Tarih]])-1)=$B397,INDEX(tblOrtak[Bakiye (₺)],ROW($A397)-ROW(tblOrtak[[#Headers],[Tarih]])-1)+$E397,$E397),$E397))</f>
        <v/>
      </c>
      <c r="G397" s="19" t="str">
        <f aca="false">IF($A397="","",IFERROR(IF(INDEX(tblOrtak[Tarih],ROW($A397)-ROW(tblOrtak[[#Headers],[Tarih]])+1)=0,RaporTarihi,INDEX(tblOrtak[Tarih],ROW($A397)-ROW(tblOrtak[[#Headers],[Tarih]])+1))-$A397,RaporTarihi-$A397))</f>
        <v/>
      </c>
      <c r="H397" s="18" t="n">
        <f aca="false">IF($F397="",0,ROUND($F397*$G397,0))</f>
        <v>0</v>
      </c>
      <c r="I397" s="18" t="n">
        <f aca="false">IF($H397="",0,ROUND($H397*AdatFaizOran/AdatYilGunSayisi,2))</f>
        <v>0</v>
      </c>
      <c r="J397" s="22"/>
    </row>
    <row r="398" customFormat="false" ht="15" hidden="false" customHeight="false" outlineLevel="0" collapsed="false">
      <c r="A398" s="21"/>
      <c r="B398" s="22"/>
      <c r="C398" s="22"/>
      <c r="D398" s="23"/>
      <c r="E398" s="20" t="str">
        <f aca="false">IF($A398="","",IF($C398="Borç",-$D398,$D398))</f>
        <v/>
      </c>
      <c r="F398" s="18" t="str">
        <f aca="false">IF($A398="","",IFERROR(IF(INDEX(tblOrtak[Ortak Adı],ROW($A398)-ROW(tblOrtak[[#Headers],[Tarih]])-1)=$B398,INDEX(tblOrtak[Bakiye (₺)],ROW($A398)-ROW(tblOrtak[[#Headers],[Tarih]])-1)+$E398,$E398),$E398))</f>
        <v/>
      </c>
      <c r="G398" s="19" t="str">
        <f aca="false">IF($A398="","",IFERROR(IF(INDEX(tblOrtak[Tarih],ROW($A398)-ROW(tblOrtak[[#Headers],[Tarih]])+1)=0,RaporTarihi,INDEX(tblOrtak[Tarih],ROW($A398)-ROW(tblOrtak[[#Headers],[Tarih]])+1))-$A398,RaporTarihi-$A398))</f>
        <v/>
      </c>
      <c r="H398" s="18" t="n">
        <f aca="false">IF($F398="",0,ROUND($F398*$G398,0))</f>
        <v>0</v>
      </c>
      <c r="I398" s="18" t="n">
        <f aca="false">IF($H398="",0,ROUND($H398*AdatFaizOran/AdatYilGunSayisi,2))</f>
        <v>0</v>
      </c>
      <c r="J398" s="22"/>
    </row>
    <row r="399" customFormat="false" ht="15" hidden="false" customHeight="false" outlineLevel="0" collapsed="false">
      <c r="A399" s="21"/>
      <c r="B399" s="22"/>
      <c r="C399" s="22"/>
      <c r="D399" s="23"/>
      <c r="E399" s="20" t="str">
        <f aca="false">IF($A399="","",IF($C399="Borç",-$D399,$D399))</f>
        <v/>
      </c>
      <c r="F399" s="18" t="str">
        <f aca="false">IF($A399="","",IFERROR(IF(INDEX(tblOrtak[Ortak Adı],ROW($A399)-ROW(tblOrtak[[#Headers],[Tarih]])-1)=$B399,INDEX(tblOrtak[Bakiye (₺)],ROW($A399)-ROW(tblOrtak[[#Headers],[Tarih]])-1)+$E399,$E399),$E399))</f>
        <v/>
      </c>
      <c r="G399" s="19" t="str">
        <f aca="false">IF($A399="","",IFERROR(IF(INDEX(tblOrtak[Tarih],ROW($A399)-ROW(tblOrtak[[#Headers],[Tarih]])+1)=0,RaporTarihi,INDEX(tblOrtak[Tarih],ROW($A399)-ROW(tblOrtak[[#Headers],[Tarih]])+1))-$A399,RaporTarihi-$A399))</f>
        <v/>
      </c>
      <c r="H399" s="18" t="n">
        <f aca="false">IF($F399="",0,ROUND($F399*$G399,0))</f>
        <v>0</v>
      </c>
      <c r="I399" s="18" t="n">
        <f aca="false">IF($H399="",0,ROUND($H399*AdatFaizOran/AdatYilGunSayisi,2))</f>
        <v>0</v>
      </c>
      <c r="J399" s="22"/>
    </row>
    <row r="400" customFormat="false" ht="15" hidden="false" customHeight="false" outlineLevel="0" collapsed="false">
      <c r="A400" s="21"/>
      <c r="B400" s="22"/>
      <c r="C400" s="22"/>
      <c r="D400" s="23"/>
      <c r="E400" s="20" t="str">
        <f aca="false">IF($A400="","",IF($C400="Borç",-$D400,$D400))</f>
        <v/>
      </c>
      <c r="F400" s="18" t="str">
        <f aca="false">IF($A400="","",IFERROR(IF(INDEX(tblOrtak[Ortak Adı],ROW($A400)-ROW(tblOrtak[[#Headers],[Tarih]])-1)=$B400,INDEX(tblOrtak[Bakiye (₺)],ROW($A400)-ROW(tblOrtak[[#Headers],[Tarih]])-1)+$E400,$E400),$E400))</f>
        <v/>
      </c>
      <c r="G400" s="19" t="str">
        <f aca="false">IF($A400="","",IFERROR(IF(INDEX(tblOrtak[Tarih],ROW($A400)-ROW(tblOrtak[[#Headers],[Tarih]])+1)=0,RaporTarihi,INDEX(tblOrtak[Tarih],ROW($A400)-ROW(tblOrtak[[#Headers],[Tarih]])+1))-$A400,RaporTarihi-$A400))</f>
        <v/>
      </c>
      <c r="H400" s="18" t="n">
        <f aca="false">IF($F400="",0,ROUND($F400*$G400,0))</f>
        <v>0</v>
      </c>
      <c r="I400" s="18" t="n">
        <f aca="false">IF($H400="",0,ROUND($H400*AdatFaizOran/AdatYilGunSayisi,2))</f>
        <v>0</v>
      </c>
      <c r="J400" s="22"/>
    </row>
    <row r="401" customFormat="false" ht="15" hidden="false" customHeight="false" outlineLevel="0" collapsed="false">
      <c r="A401" s="21"/>
      <c r="B401" s="22"/>
      <c r="C401" s="22"/>
      <c r="D401" s="23"/>
      <c r="E401" s="20" t="str">
        <f aca="false">IF($A401="","",IF($C401="Borç",-$D401,$D401))</f>
        <v/>
      </c>
      <c r="F401" s="18" t="str">
        <f aca="false">IF($A401="","",IFERROR(IF(INDEX(tblOrtak[Ortak Adı],ROW($A401)-ROW(tblOrtak[[#Headers],[Tarih]])-1)=$B401,INDEX(tblOrtak[Bakiye (₺)],ROW($A401)-ROW(tblOrtak[[#Headers],[Tarih]])-1)+$E401,$E401),$E401))</f>
        <v/>
      </c>
      <c r="G401" s="19" t="str">
        <f aca="false">IF($A401="","",IFERROR(IF(INDEX(tblOrtak[Tarih],ROW($A401)-ROW(tblOrtak[[#Headers],[Tarih]])+1)=0,RaporTarihi,INDEX(tblOrtak[Tarih],ROW($A401)-ROW(tblOrtak[[#Headers],[Tarih]])+1))-$A401,RaporTarihi-$A401))</f>
        <v/>
      </c>
      <c r="H401" s="18" t="n">
        <f aca="false">IF($F401="",0,ROUND($F401*$G401,0))</f>
        <v>0</v>
      </c>
      <c r="I401" s="18" t="n">
        <f aca="false">IF($H401="",0,ROUND($H401*AdatFaizOran/AdatYilGunSayisi,2))</f>
        <v>0</v>
      </c>
      <c r="J401" s="22"/>
    </row>
    <row r="402" customFormat="false" ht="15" hidden="false" customHeight="false" outlineLevel="0" collapsed="false">
      <c r="A402" s="21"/>
      <c r="B402" s="22"/>
      <c r="C402" s="22"/>
      <c r="D402" s="23"/>
      <c r="E402" s="20" t="str">
        <f aca="false">IF($A402="","",IF($C402="Borç",-$D402,$D402))</f>
        <v/>
      </c>
      <c r="F402" s="18" t="str">
        <f aca="false">IF($A402="","",IFERROR(IF(INDEX(tblOrtak[Ortak Adı],ROW($A402)-ROW(tblOrtak[[#Headers],[Tarih]])-1)=$B402,INDEX(tblOrtak[Bakiye (₺)],ROW($A402)-ROW(tblOrtak[[#Headers],[Tarih]])-1)+$E402,$E402),$E402))</f>
        <v/>
      </c>
      <c r="G402" s="19" t="str">
        <f aca="false">IF($A402="","",IFERROR(IF(INDEX(tblOrtak[Tarih],ROW($A402)-ROW(tblOrtak[[#Headers],[Tarih]])+1)=0,RaporTarihi,INDEX(tblOrtak[Tarih],ROW($A402)-ROW(tblOrtak[[#Headers],[Tarih]])+1))-$A402,RaporTarihi-$A402))</f>
        <v/>
      </c>
      <c r="H402" s="18" t="n">
        <f aca="false">IF($F402="",0,ROUND($F402*$G402,0))</f>
        <v>0</v>
      </c>
      <c r="I402" s="18" t="n">
        <f aca="false">IF($H402="",0,ROUND($H402*AdatFaizOran/AdatYilGunSayisi,2))</f>
        <v>0</v>
      </c>
      <c r="J402" s="22"/>
    </row>
    <row r="403" customFormat="false" ht="15" hidden="false" customHeight="false" outlineLevel="0" collapsed="false">
      <c r="A403" s="21"/>
      <c r="B403" s="22"/>
      <c r="C403" s="22"/>
      <c r="D403" s="23"/>
      <c r="E403" s="20" t="str">
        <f aca="false">IF($A403="","",IF($C403="Borç",-$D403,$D403))</f>
        <v/>
      </c>
      <c r="F403" s="18" t="str">
        <f aca="false">IF($A403="","",IFERROR(IF(INDEX(tblOrtak[Ortak Adı],ROW($A403)-ROW(tblOrtak[[#Headers],[Tarih]])-1)=$B403,INDEX(tblOrtak[Bakiye (₺)],ROW($A403)-ROW(tblOrtak[[#Headers],[Tarih]])-1)+$E403,$E403),$E403))</f>
        <v/>
      </c>
      <c r="G403" s="19" t="str">
        <f aca="false">IF($A403="","",IFERROR(IF(INDEX(tblOrtak[Tarih],ROW($A403)-ROW(tblOrtak[[#Headers],[Tarih]])+1)=0,RaporTarihi,INDEX(tblOrtak[Tarih],ROW($A403)-ROW(tblOrtak[[#Headers],[Tarih]])+1))-$A403,RaporTarihi-$A403))</f>
        <v/>
      </c>
      <c r="H403" s="18" t="n">
        <f aca="false">IF($F403="",0,ROUND($F403*$G403,0))</f>
        <v>0</v>
      </c>
      <c r="I403" s="18" t="n">
        <f aca="false">IF($H403="",0,ROUND($H403*AdatFaizOran/AdatYilGunSayisi,2))</f>
        <v>0</v>
      </c>
      <c r="J403" s="22"/>
    </row>
    <row r="404" customFormat="false" ht="15" hidden="false" customHeight="false" outlineLevel="0" collapsed="false">
      <c r="A404" s="21"/>
      <c r="B404" s="22"/>
      <c r="C404" s="22"/>
      <c r="D404" s="23"/>
      <c r="E404" s="20" t="str">
        <f aca="false">IF($A404="","",IF($C404="Borç",-$D404,$D404))</f>
        <v/>
      </c>
      <c r="F404" s="18" t="str">
        <f aca="false">IF($A404="","",IFERROR(IF(INDEX(tblOrtak[Ortak Adı],ROW($A404)-ROW(tblOrtak[[#Headers],[Tarih]])-1)=$B404,INDEX(tblOrtak[Bakiye (₺)],ROW($A404)-ROW(tblOrtak[[#Headers],[Tarih]])-1)+$E404,$E404),$E404))</f>
        <v/>
      </c>
      <c r="G404" s="19" t="str">
        <f aca="false">IF($A404="","",IFERROR(IF(INDEX(tblOrtak[Tarih],ROW($A404)-ROW(tblOrtak[[#Headers],[Tarih]])+1)=0,RaporTarihi,INDEX(tblOrtak[Tarih],ROW($A404)-ROW(tblOrtak[[#Headers],[Tarih]])+1))-$A404,RaporTarihi-$A404))</f>
        <v/>
      </c>
      <c r="H404" s="18" t="n">
        <f aca="false">IF($F404="",0,ROUND($F404*$G404,0))</f>
        <v>0</v>
      </c>
      <c r="I404" s="18" t="n">
        <f aca="false">IF($H404="",0,ROUND($H404*AdatFaizOran/AdatYilGunSayisi,2))</f>
        <v>0</v>
      </c>
      <c r="J404" s="22"/>
    </row>
    <row r="405" customFormat="false" ht="15" hidden="false" customHeight="false" outlineLevel="0" collapsed="false">
      <c r="A405" s="21"/>
      <c r="B405" s="22"/>
      <c r="C405" s="22"/>
      <c r="D405" s="23"/>
      <c r="E405" s="20" t="str">
        <f aca="false">IF($A405="","",IF($C405="Borç",-$D405,$D405))</f>
        <v/>
      </c>
      <c r="F405" s="18" t="str">
        <f aca="false">IF($A405="","",IFERROR(IF(INDEX(tblOrtak[Ortak Adı],ROW($A405)-ROW(tblOrtak[[#Headers],[Tarih]])-1)=$B405,INDEX(tblOrtak[Bakiye (₺)],ROW($A405)-ROW(tblOrtak[[#Headers],[Tarih]])-1)+$E405,$E405),$E405))</f>
        <v/>
      </c>
      <c r="G405" s="19" t="str">
        <f aca="false">IF($A405="","",IFERROR(IF(INDEX(tblOrtak[Tarih],ROW($A405)-ROW(tblOrtak[[#Headers],[Tarih]])+1)=0,RaporTarihi,INDEX(tblOrtak[Tarih],ROW($A405)-ROW(tblOrtak[[#Headers],[Tarih]])+1))-$A405,RaporTarihi-$A405))</f>
        <v/>
      </c>
      <c r="H405" s="18" t="n">
        <f aca="false">IF($F405="",0,ROUND($F405*$G405,0))</f>
        <v>0</v>
      </c>
      <c r="I405" s="18" t="n">
        <f aca="false">IF($H405="",0,ROUND($H405*AdatFaizOran/AdatYilGunSayisi,2))</f>
        <v>0</v>
      </c>
      <c r="J405" s="22"/>
    </row>
    <row r="406" customFormat="false" ht="15" hidden="false" customHeight="false" outlineLevel="0" collapsed="false">
      <c r="A406" s="21"/>
      <c r="B406" s="22"/>
      <c r="C406" s="22"/>
      <c r="D406" s="23"/>
      <c r="E406" s="20" t="str">
        <f aca="false">IF($A406="","",IF($C406="Borç",-$D406,$D406))</f>
        <v/>
      </c>
      <c r="F406" s="18" t="str">
        <f aca="false">IF($A406="","",IFERROR(IF(INDEX(tblOrtak[Ortak Adı],ROW($A406)-ROW(tblOrtak[[#Headers],[Tarih]])-1)=$B406,INDEX(tblOrtak[Bakiye (₺)],ROW($A406)-ROW(tblOrtak[[#Headers],[Tarih]])-1)+$E406,$E406),$E406))</f>
        <v/>
      </c>
      <c r="G406" s="19" t="str">
        <f aca="false">IF($A406="","",IFERROR(IF(INDEX(tblOrtak[Tarih],ROW($A406)-ROW(tblOrtak[[#Headers],[Tarih]])+1)=0,RaporTarihi,INDEX(tblOrtak[Tarih],ROW($A406)-ROW(tblOrtak[[#Headers],[Tarih]])+1))-$A406,RaporTarihi-$A406))</f>
        <v/>
      </c>
      <c r="H406" s="18" t="n">
        <f aca="false">IF($F406="",0,ROUND($F406*$G406,0))</f>
        <v>0</v>
      </c>
      <c r="I406" s="18" t="n">
        <f aca="false">IF($H406="",0,ROUND($H406*AdatFaizOran/AdatYilGunSayisi,2))</f>
        <v>0</v>
      </c>
      <c r="J406" s="22"/>
    </row>
    <row r="407" customFormat="false" ht="15" hidden="false" customHeight="false" outlineLevel="0" collapsed="false">
      <c r="A407" s="21"/>
      <c r="B407" s="22"/>
      <c r="C407" s="22"/>
      <c r="D407" s="23"/>
      <c r="E407" s="20" t="str">
        <f aca="false">IF($A407="","",IF($C407="Borç",-$D407,$D407))</f>
        <v/>
      </c>
      <c r="F407" s="18" t="str">
        <f aca="false">IF($A407="","",IFERROR(IF(INDEX(tblOrtak[Ortak Adı],ROW($A407)-ROW(tblOrtak[[#Headers],[Tarih]])-1)=$B407,INDEX(tblOrtak[Bakiye (₺)],ROW($A407)-ROW(tblOrtak[[#Headers],[Tarih]])-1)+$E407,$E407),$E407))</f>
        <v/>
      </c>
      <c r="G407" s="19" t="str">
        <f aca="false">IF($A407="","",IFERROR(IF(INDEX(tblOrtak[Tarih],ROW($A407)-ROW(tblOrtak[[#Headers],[Tarih]])+1)=0,RaporTarihi,INDEX(tblOrtak[Tarih],ROW($A407)-ROW(tblOrtak[[#Headers],[Tarih]])+1))-$A407,RaporTarihi-$A407))</f>
        <v/>
      </c>
      <c r="H407" s="18" t="n">
        <f aca="false">IF($F407="",0,ROUND($F407*$G407,0))</f>
        <v>0</v>
      </c>
      <c r="I407" s="18" t="n">
        <f aca="false">IF($H407="",0,ROUND($H407*AdatFaizOran/AdatYilGunSayisi,2))</f>
        <v>0</v>
      </c>
      <c r="J407" s="22"/>
    </row>
    <row r="408" customFormat="false" ht="15" hidden="false" customHeight="false" outlineLevel="0" collapsed="false">
      <c r="A408" s="21"/>
      <c r="B408" s="22"/>
      <c r="C408" s="22"/>
      <c r="D408" s="23"/>
      <c r="E408" s="20" t="str">
        <f aca="false">IF($A408="","",IF($C408="Borç",-$D408,$D408))</f>
        <v/>
      </c>
      <c r="F408" s="18" t="str">
        <f aca="false">IF($A408="","",IFERROR(IF(INDEX(tblOrtak[Ortak Adı],ROW($A408)-ROW(tblOrtak[[#Headers],[Tarih]])-1)=$B408,INDEX(tblOrtak[Bakiye (₺)],ROW($A408)-ROW(tblOrtak[[#Headers],[Tarih]])-1)+$E408,$E408),$E408))</f>
        <v/>
      </c>
      <c r="G408" s="19" t="str">
        <f aca="false">IF($A408="","",IFERROR(IF(INDEX(tblOrtak[Tarih],ROW($A408)-ROW(tblOrtak[[#Headers],[Tarih]])+1)=0,RaporTarihi,INDEX(tblOrtak[Tarih],ROW($A408)-ROW(tblOrtak[[#Headers],[Tarih]])+1))-$A408,RaporTarihi-$A408))</f>
        <v/>
      </c>
      <c r="H408" s="18" t="n">
        <f aca="false">IF($F408="",0,ROUND($F408*$G408,0))</f>
        <v>0</v>
      </c>
      <c r="I408" s="18" t="n">
        <f aca="false">IF($H408="",0,ROUND($H408*AdatFaizOran/AdatYilGunSayisi,2))</f>
        <v>0</v>
      </c>
      <c r="J408" s="22"/>
    </row>
    <row r="409" customFormat="false" ht="15" hidden="false" customHeight="false" outlineLevel="0" collapsed="false">
      <c r="A409" s="21"/>
      <c r="B409" s="22"/>
      <c r="C409" s="22"/>
      <c r="D409" s="23"/>
      <c r="E409" s="20" t="str">
        <f aca="false">IF($A409="","",IF($C409="Borç",-$D409,$D409))</f>
        <v/>
      </c>
      <c r="F409" s="18" t="str">
        <f aca="false">IF($A409="","",IFERROR(IF(INDEX(tblOrtak[Ortak Adı],ROW($A409)-ROW(tblOrtak[[#Headers],[Tarih]])-1)=$B409,INDEX(tblOrtak[Bakiye (₺)],ROW($A409)-ROW(tblOrtak[[#Headers],[Tarih]])-1)+$E409,$E409),$E409))</f>
        <v/>
      </c>
      <c r="G409" s="19" t="str">
        <f aca="false">IF($A409="","",IFERROR(IF(INDEX(tblOrtak[Tarih],ROW($A409)-ROW(tblOrtak[[#Headers],[Tarih]])+1)=0,RaporTarihi,INDEX(tblOrtak[Tarih],ROW($A409)-ROW(tblOrtak[[#Headers],[Tarih]])+1))-$A409,RaporTarihi-$A409))</f>
        <v/>
      </c>
      <c r="H409" s="18" t="n">
        <f aca="false">IF($F409="",0,ROUND($F409*$G409,0))</f>
        <v>0</v>
      </c>
      <c r="I409" s="18" t="n">
        <f aca="false">IF($H409="",0,ROUND($H409*AdatFaizOran/AdatYilGunSayisi,2))</f>
        <v>0</v>
      </c>
      <c r="J409" s="22"/>
    </row>
    <row r="410" customFormat="false" ht="15" hidden="false" customHeight="false" outlineLevel="0" collapsed="false">
      <c r="A410" s="21"/>
      <c r="B410" s="22"/>
      <c r="C410" s="22"/>
      <c r="D410" s="23"/>
      <c r="E410" s="20" t="str">
        <f aca="false">IF($A410="","",IF($C410="Borç",-$D410,$D410))</f>
        <v/>
      </c>
      <c r="F410" s="18" t="str">
        <f aca="false">IF($A410="","",IFERROR(IF(INDEX(tblOrtak[Ortak Adı],ROW($A410)-ROW(tblOrtak[[#Headers],[Tarih]])-1)=$B410,INDEX(tblOrtak[Bakiye (₺)],ROW($A410)-ROW(tblOrtak[[#Headers],[Tarih]])-1)+$E410,$E410),$E410))</f>
        <v/>
      </c>
      <c r="G410" s="19" t="str">
        <f aca="false">IF($A410="","",IFERROR(IF(INDEX(tblOrtak[Tarih],ROW($A410)-ROW(tblOrtak[[#Headers],[Tarih]])+1)=0,RaporTarihi,INDEX(tblOrtak[Tarih],ROW($A410)-ROW(tblOrtak[[#Headers],[Tarih]])+1))-$A410,RaporTarihi-$A410))</f>
        <v/>
      </c>
      <c r="H410" s="18" t="n">
        <f aca="false">IF($F410="",0,ROUND($F410*$G410,0))</f>
        <v>0</v>
      </c>
      <c r="I410" s="18" t="n">
        <f aca="false">IF($H410="",0,ROUND($H410*AdatFaizOran/AdatYilGunSayisi,2))</f>
        <v>0</v>
      </c>
      <c r="J410" s="22"/>
    </row>
    <row r="411" customFormat="false" ht="15" hidden="false" customHeight="false" outlineLevel="0" collapsed="false">
      <c r="A411" s="21"/>
      <c r="B411" s="22"/>
      <c r="C411" s="22"/>
      <c r="D411" s="23"/>
      <c r="E411" s="20" t="str">
        <f aca="false">IF($A411="","",IF($C411="Borç",-$D411,$D411))</f>
        <v/>
      </c>
      <c r="F411" s="18" t="str">
        <f aca="false">IF($A411="","",IFERROR(IF(INDEX(tblOrtak[Ortak Adı],ROW($A411)-ROW(tblOrtak[[#Headers],[Tarih]])-1)=$B411,INDEX(tblOrtak[Bakiye (₺)],ROW($A411)-ROW(tblOrtak[[#Headers],[Tarih]])-1)+$E411,$E411),$E411))</f>
        <v/>
      </c>
      <c r="G411" s="19" t="str">
        <f aca="false">IF($A411="","",IFERROR(IF(INDEX(tblOrtak[Tarih],ROW($A411)-ROW(tblOrtak[[#Headers],[Tarih]])+1)=0,RaporTarihi,INDEX(tblOrtak[Tarih],ROW($A411)-ROW(tblOrtak[[#Headers],[Tarih]])+1))-$A411,RaporTarihi-$A411))</f>
        <v/>
      </c>
      <c r="H411" s="18" t="n">
        <f aca="false">IF($F411="",0,ROUND($F411*$G411,0))</f>
        <v>0</v>
      </c>
      <c r="I411" s="18" t="n">
        <f aca="false">IF($H411="",0,ROUND($H411*AdatFaizOran/AdatYilGunSayisi,2))</f>
        <v>0</v>
      </c>
      <c r="J411" s="22"/>
    </row>
    <row r="412" customFormat="false" ht="15" hidden="false" customHeight="false" outlineLevel="0" collapsed="false">
      <c r="A412" s="21"/>
      <c r="B412" s="22"/>
      <c r="C412" s="22"/>
      <c r="D412" s="23"/>
      <c r="E412" s="20" t="str">
        <f aca="false">IF($A412="","",IF($C412="Borç",-$D412,$D412))</f>
        <v/>
      </c>
      <c r="F412" s="18" t="str">
        <f aca="false">IF($A412="","",IFERROR(IF(INDEX(tblOrtak[Ortak Adı],ROW($A412)-ROW(tblOrtak[[#Headers],[Tarih]])-1)=$B412,INDEX(tblOrtak[Bakiye (₺)],ROW($A412)-ROW(tblOrtak[[#Headers],[Tarih]])-1)+$E412,$E412),$E412))</f>
        <v/>
      </c>
      <c r="G412" s="19" t="str">
        <f aca="false">IF($A412="","",IFERROR(IF(INDEX(tblOrtak[Tarih],ROW($A412)-ROW(tblOrtak[[#Headers],[Tarih]])+1)=0,RaporTarihi,INDEX(tblOrtak[Tarih],ROW($A412)-ROW(tblOrtak[[#Headers],[Tarih]])+1))-$A412,RaporTarihi-$A412))</f>
        <v/>
      </c>
      <c r="H412" s="18" t="n">
        <f aca="false">IF($F412="",0,ROUND($F412*$G412,0))</f>
        <v>0</v>
      </c>
      <c r="I412" s="18" t="n">
        <f aca="false">IF($H412="",0,ROUND($H412*AdatFaizOran/AdatYilGunSayisi,2))</f>
        <v>0</v>
      </c>
      <c r="J412" s="22"/>
    </row>
    <row r="413" customFormat="false" ht="15" hidden="false" customHeight="false" outlineLevel="0" collapsed="false">
      <c r="A413" s="21"/>
      <c r="B413" s="22"/>
      <c r="C413" s="22"/>
      <c r="D413" s="23"/>
      <c r="E413" s="20" t="str">
        <f aca="false">IF($A413="","",IF($C413="Borç",-$D413,$D413))</f>
        <v/>
      </c>
      <c r="F413" s="18" t="str">
        <f aca="false">IF($A413="","",IFERROR(IF(INDEX(tblOrtak[Ortak Adı],ROW($A413)-ROW(tblOrtak[[#Headers],[Tarih]])-1)=$B413,INDEX(tblOrtak[Bakiye (₺)],ROW($A413)-ROW(tblOrtak[[#Headers],[Tarih]])-1)+$E413,$E413),$E413))</f>
        <v/>
      </c>
      <c r="G413" s="19" t="str">
        <f aca="false">IF($A413="","",IFERROR(IF(INDEX(tblOrtak[Tarih],ROW($A413)-ROW(tblOrtak[[#Headers],[Tarih]])+1)=0,RaporTarihi,INDEX(tblOrtak[Tarih],ROW($A413)-ROW(tblOrtak[[#Headers],[Tarih]])+1))-$A413,RaporTarihi-$A413))</f>
        <v/>
      </c>
      <c r="H413" s="18" t="n">
        <f aca="false">IF($F413="",0,ROUND($F413*$G413,0))</f>
        <v>0</v>
      </c>
      <c r="I413" s="18" t="n">
        <f aca="false">IF($H413="",0,ROUND($H413*AdatFaizOran/AdatYilGunSayisi,2))</f>
        <v>0</v>
      </c>
      <c r="J413" s="22"/>
    </row>
    <row r="414" customFormat="false" ht="15" hidden="false" customHeight="false" outlineLevel="0" collapsed="false">
      <c r="A414" s="21"/>
      <c r="B414" s="22"/>
      <c r="C414" s="22"/>
      <c r="D414" s="23"/>
      <c r="E414" s="20" t="str">
        <f aca="false">IF($A414="","",IF($C414="Borç",-$D414,$D414))</f>
        <v/>
      </c>
      <c r="F414" s="18" t="str">
        <f aca="false">IF($A414="","",IFERROR(IF(INDEX(tblOrtak[Ortak Adı],ROW($A414)-ROW(tblOrtak[[#Headers],[Tarih]])-1)=$B414,INDEX(tblOrtak[Bakiye (₺)],ROW($A414)-ROW(tblOrtak[[#Headers],[Tarih]])-1)+$E414,$E414),$E414))</f>
        <v/>
      </c>
      <c r="G414" s="19" t="str">
        <f aca="false">IF($A414="","",IFERROR(IF(INDEX(tblOrtak[Tarih],ROW($A414)-ROW(tblOrtak[[#Headers],[Tarih]])+1)=0,RaporTarihi,INDEX(tblOrtak[Tarih],ROW($A414)-ROW(tblOrtak[[#Headers],[Tarih]])+1))-$A414,RaporTarihi-$A414))</f>
        <v/>
      </c>
      <c r="H414" s="18" t="n">
        <f aca="false">IF($F414="",0,ROUND($F414*$G414,0))</f>
        <v>0</v>
      </c>
      <c r="I414" s="18" t="n">
        <f aca="false">IF($H414="",0,ROUND($H414*AdatFaizOran/AdatYilGunSayisi,2))</f>
        <v>0</v>
      </c>
      <c r="J414" s="22"/>
    </row>
    <row r="415" customFormat="false" ht="15" hidden="false" customHeight="false" outlineLevel="0" collapsed="false">
      <c r="A415" s="21"/>
      <c r="B415" s="22"/>
      <c r="C415" s="22"/>
      <c r="D415" s="23"/>
      <c r="E415" s="20" t="str">
        <f aca="false">IF($A415="","",IF($C415="Borç",-$D415,$D415))</f>
        <v/>
      </c>
      <c r="F415" s="18" t="str">
        <f aca="false">IF($A415="","",IFERROR(IF(INDEX(tblOrtak[Ortak Adı],ROW($A415)-ROW(tblOrtak[[#Headers],[Tarih]])-1)=$B415,INDEX(tblOrtak[Bakiye (₺)],ROW($A415)-ROW(tblOrtak[[#Headers],[Tarih]])-1)+$E415,$E415),$E415))</f>
        <v/>
      </c>
      <c r="G415" s="19" t="str">
        <f aca="false">IF($A415="","",IFERROR(IF(INDEX(tblOrtak[Tarih],ROW($A415)-ROW(tblOrtak[[#Headers],[Tarih]])+1)=0,RaporTarihi,INDEX(tblOrtak[Tarih],ROW($A415)-ROW(tblOrtak[[#Headers],[Tarih]])+1))-$A415,RaporTarihi-$A415))</f>
        <v/>
      </c>
      <c r="H415" s="18" t="n">
        <f aca="false">IF($F415="",0,ROUND($F415*$G415,0))</f>
        <v>0</v>
      </c>
      <c r="I415" s="18" t="n">
        <f aca="false">IF($H415="",0,ROUND($H415*AdatFaizOran/AdatYilGunSayisi,2))</f>
        <v>0</v>
      </c>
      <c r="J415" s="22"/>
    </row>
    <row r="416" customFormat="false" ht="15" hidden="false" customHeight="false" outlineLevel="0" collapsed="false">
      <c r="A416" s="21"/>
      <c r="B416" s="22"/>
      <c r="C416" s="22"/>
      <c r="D416" s="23"/>
      <c r="E416" s="20" t="str">
        <f aca="false">IF($A416="","",IF($C416="Borç",-$D416,$D416))</f>
        <v/>
      </c>
      <c r="F416" s="18" t="str">
        <f aca="false">IF($A416="","",IFERROR(IF(INDEX(tblOrtak[Ortak Adı],ROW($A416)-ROW(tblOrtak[[#Headers],[Tarih]])-1)=$B416,INDEX(tblOrtak[Bakiye (₺)],ROW($A416)-ROW(tblOrtak[[#Headers],[Tarih]])-1)+$E416,$E416),$E416))</f>
        <v/>
      </c>
      <c r="G416" s="19" t="str">
        <f aca="false">IF($A416="","",IFERROR(IF(INDEX(tblOrtak[Tarih],ROW($A416)-ROW(tblOrtak[[#Headers],[Tarih]])+1)=0,RaporTarihi,INDEX(tblOrtak[Tarih],ROW($A416)-ROW(tblOrtak[[#Headers],[Tarih]])+1))-$A416,RaporTarihi-$A416))</f>
        <v/>
      </c>
      <c r="H416" s="18" t="n">
        <f aca="false">IF($F416="",0,ROUND($F416*$G416,0))</f>
        <v>0</v>
      </c>
      <c r="I416" s="18" t="n">
        <f aca="false">IF($H416="",0,ROUND($H416*AdatFaizOran/AdatYilGunSayisi,2))</f>
        <v>0</v>
      </c>
      <c r="J416" s="22"/>
    </row>
    <row r="417" customFormat="false" ht="15" hidden="false" customHeight="false" outlineLevel="0" collapsed="false">
      <c r="A417" s="21"/>
      <c r="B417" s="22"/>
      <c r="C417" s="22"/>
      <c r="D417" s="23"/>
      <c r="E417" s="20" t="str">
        <f aca="false">IF($A417="","",IF($C417="Borç",-$D417,$D417))</f>
        <v/>
      </c>
      <c r="F417" s="18" t="str">
        <f aca="false">IF($A417="","",IFERROR(IF(INDEX(tblOrtak[Ortak Adı],ROW($A417)-ROW(tblOrtak[[#Headers],[Tarih]])-1)=$B417,INDEX(tblOrtak[Bakiye (₺)],ROW($A417)-ROW(tblOrtak[[#Headers],[Tarih]])-1)+$E417,$E417),$E417))</f>
        <v/>
      </c>
      <c r="G417" s="19" t="str">
        <f aca="false">IF($A417="","",IFERROR(IF(INDEX(tblOrtak[Tarih],ROW($A417)-ROW(tblOrtak[[#Headers],[Tarih]])+1)=0,RaporTarihi,INDEX(tblOrtak[Tarih],ROW($A417)-ROW(tblOrtak[[#Headers],[Tarih]])+1))-$A417,RaporTarihi-$A417))</f>
        <v/>
      </c>
      <c r="H417" s="18" t="n">
        <f aca="false">IF($F417="",0,ROUND($F417*$G417,0))</f>
        <v>0</v>
      </c>
      <c r="I417" s="18" t="n">
        <f aca="false">IF($H417="",0,ROUND($H417*AdatFaizOran/AdatYilGunSayisi,2))</f>
        <v>0</v>
      </c>
      <c r="J417" s="22"/>
    </row>
    <row r="418" customFormat="false" ht="15" hidden="false" customHeight="false" outlineLevel="0" collapsed="false">
      <c r="A418" s="21"/>
      <c r="B418" s="22"/>
      <c r="C418" s="22"/>
      <c r="D418" s="23"/>
      <c r="E418" s="20" t="str">
        <f aca="false">IF($A418="","",IF($C418="Borç",-$D418,$D418))</f>
        <v/>
      </c>
      <c r="F418" s="18" t="str">
        <f aca="false">IF($A418="","",IFERROR(IF(INDEX(tblOrtak[Ortak Adı],ROW($A418)-ROW(tblOrtak[[#Headers],[Tarih]])-1)=$B418,INDEX(tblOrtak[Bakiye (₺)],ROW($A418)-ROW(tblOrtak[[#Headers],[Tarih]])-1)+$E418,$E418),$E418))</f>
        <v/>
      </c>
      <c r="G418" s="19" t="str">
        <f aca="false">IF($A418="","",IFERROR(IF(INDEX(tblOrtak[Tarih],ROW($A418)-ROW(tblOrtak[[#Headers],[Tarih]])+1)=0,RaporTarihi,INDEX(tblOrtak[Tarih],ROW($A418)-ROW(tblOrtak[[#Headers],[Tarih]])+1))-$A418,RaporTarihi-$A418))</f>
        <v/>
      </c>
      <c r="H418" s="18" t="n">
        <f aca="false">IF($F418="",0,ROUND($F418*$G418,0))</f>
        <v>0</v>
      </c>
      <c r="I418" s="18" t="n">
        <f aca="false">IF($H418="",0,ROUND($H418*AdatFaizOran/AdatYilGunSayisi,2))</f>
        <v>0</v>
      </c>
      <c r="J418" s="22"/>
    </row>
    <row r="419" customFormat="false" ht="15" hidden="false" customHeight="false" outlineLevel="0" collapsed="false">
      <c r="A419" s="21"/>
      <c r="B419" s="22"/>
      <c r="C419" s="22"/>
      <c r="D419" s="23"/>
      <c r="E419" s="20" t="str">
        <f aca="false">IF($A419="","",IF($C419="Borç",-$D419,$D419))</f>
        <v/>
      </c>
      <c r="F419" s="18" t="str">
        <f aca="false">IF($A419="","",IFERROR(IF(INDEX(tblOrtak[Ortak Adı],ROW($A419)-ROW(tblOrtak[[#Headers],[Tarih]])-1)=$B419,INDEX(tblOrtak[Bakiye (₺)],ROW($A419)-ROW(tblOrtak[[#Headers],[Tarih]])-1)+$E419,$E419),$E419))</f>
        <v/>
      </c>
      <c r="G419" s="19" t="str">
        <f aca="false">IF($A419="","",IFERROR(IF(INDEX(tblOrtak[Tarih],ROW($A419)-ROW(tblOrtak[[#Headers],[Tarih]])+1)=0,RaporTarihi,INDEX(tblOrtak[Tarih],ROW($A419)-ROW(tblOrtak[[#Headers],[Tarih]])+1))-$A419,RaporTarihi-$A419))</f>
        <v/>
      </c>
      <c r="H419" s="18" t="n">
        <f aca="false">IF($F419="",0,ROUND($F419*$G419,0))</f>
        <v>0</v>
      </c>
      <c r="I419" s="18" t="n">
        <f aca="false">IF($H419="",0,ROUND($H419*AdatFaizOran/AdatYilGunSayisi,2))</f>
        <v>0</v>
      </c>
      <c r="J419" s="22"/>
    </row>
    <row r="420" customFormat="false" ht="15" hidden="false" customHeight="false" outlineLevel="0" collapsed="false">
      <c r="A420" s="21"/>
      <c r="B420" s="22"/>
      <c r="C420" s="22"/>
      <c r="D420" s="23"/>
      <c r="E420" s="20" t="str">
        <f aca="false">IF($A420="","",IF($C420="Borç",-$D420,$D420))</f>
        <v/>
      </c>
      <c r="F420" s="18" t="str">
        <f aca="false">IF($A420="","",IFERROR(IF(INDEX(tblOrtak[Ortak Adı],ROW($A420)-ROW(tblOrtak[[#Headers],[Tarih]])-1)=$B420,INDEX(tblOrtak[Bakiye (₺)],ROW($A420)-ROW(tblOrtak[[#Headers],[Tarih]])-1)+$E420,$E420),$E420))</f>
        <v/>
      </c>
      <c r="G420" s="19" t="str">
        <f aca="false">IF($A420="","",IFERROR(IF(INDEX(tblOrtak[Tarih],ROW($A420)-ROW(tblOrtak[[#Headers],[Tarih]])+1)=0,RaporTarihi,INDEX(tblOrtak[Tarih],ROW($A420)-ROW(tblOrtak[[#Headers],[Tarih]])+1))-$A420,RaporTarihi-$A420))</f>
        <v/>
      </c>
      <c r="H420" s="18" t="n">
        <f aca="false">IF($F420="",0,ROUND($F420*$G420,0))</f>
        <v>0</v>
      </c>
      <c r="I420" s="18" t="n">
        <f aca="false">IF($H420="",0,ROUND($H420*AdatFaizOran/AdatYilGunSayisi,2))</f>
        <v>0</v>
      </c>
      <c r="J420" s="22"/>
    </row>
    <row r="421" customFormat="false" ht="15" hidden="false" customHeight="false" outlineLevel="0" collapsed="false">
      <c r="A421" s="21"/>
      <c r="B421" s="22"/>
      <c r="C421" s="22"/>
      <c r="D421" s="23"/>
      <c r="E421" s="20" t="str">
        <f aca="false">IF($A421="","",IF($C421="Borç",-$D421,$D421))</f>
        <v/>
      </c>
      <c r="F421" s="18" t="str">
        <f aca="false">IF($A421="","",IFERROR(IF(INDEX(tblOrtak[Ortak Adı],ROW($A421)-ROW(tblOrtak[[#Headers],[Tarih]])-1)=$B421,INDEX(tblOrtak[Bakiye (₺)],ROW($A421)-ROW(tblOrtak[[#Headers],[Tarih]])-1)+$E421,$E421),$E421))</f>
        <v/>
      </c>
      <c r="G421" s="19" t="str">
        <f aca="false">IF($A421="","",IFERROR(IF(INDEX(tblOrtak[Tarih],ROW($A421)-ROW(tblOrtak[[#Headers],[Tarih]])+1)=0,RaporTarihi,INDEX(tblOrtak[Tarih],ROW($A421)-ROW(tblOrtak[[#Headers],[Tarih]])+1))-$A421,RaporTarihi-$A421))</f>
        <v/>
      </c>
      <c r="H421" s="18" t="n">
        <f aca="false">IF($F421="",0,ROUND($F421*$G421,0))</f>
        <v>0</v>
      </c>
      <c r="I421" s="18" t="n">
        <f aca="false">IF($H421="",0,ROUND($H421*AdatFaizOran/AdatYilGunSayisi,2))</f>
        <v>0</v>
      </c>
      <c r="J421" s="22"/>
    </row>
    <row r="422" customFormat="false" ht="15" hidden="false" customHeight="false" outlineLevel="0" collapsed="false">
      <c r="A422" s="21"/>
      <c r="B422" s="22"/>
      <c r="C422" s="22"/>
      <c r="D422" s="23"/>
      <c r="E422" s="20" t="str">
        <f aca="false">IF($A422="","",IF($C422="Borç",-$D422,$D422))</f>
        <v/>
      </c>
      <c r="F422" s="18" t="str">
        <f aca="false">IF($A422="","",IFERROR(IF(INDEX(tblOrtak[Ortak Adı],ROW($A422)-ROW(tblOrtak[[#Headers],[Tarih]])-1)=$B422,INDEX(tblOrtak[Bakiye (₺)],ROW($A422)-ROW(tblOrtak[[#Headers],[Tarih]])-1)+$E422,$E422),$E422))</f>
        <v/>
      </c>
      <c r="G422" s="19" t="str">
        <f aca="false">IF($A422="","",IFERROR(IF(INDEX(tblOrtak[Tarih],ROW($A422)-ROW(tblOrtak[[#Headers],[Tarih]])+1)=0,RaporTarihi,INDEX(tblOrtak[Tarih],ROW($A422)-ROW(tblOrtak[[#Headers],[Tarih]])+1))-$A422,RaporTarihi-$A422))</f>
        <v/>
      </c>
      <c r="H422" s="18" t="n">
        <f aca="false">IF($F422="",0,ROUND($F422*$G422,0))</f>
        <v>0</v>
      </c>
      <c r="I422" s="18" t="n">
        <f aca="false">IF($H422="",0,ROUND($H422*AdatFaizOran/AdatYilGunSayisi,2))</f>
        <v>0</v>
      </c>
      <c r="J422" s="22"/>
    </row>
    <row r="423" customFormat="false" ht="15" hidden="false" customHeight="false" outlineLevel="0" collapsed="false">
      <c r="A423" s="21"/>
      <c r="B423" s="22"/>
      <c r="C423" s="22"/>
      <c r="D423" s="23"/>
      <c r="E423" s="20" t="str">
        <f aca="false">IF($A423="","",IF($C423="Borç",-$D423,$D423))</f>
        <v/>
      </c>
      <c r="F423" s="18" t="str">
        <f aca="false">IF($A423="","",IFERROR(IF(INDEX(tblOrtak[Ortak Adı],ROW($A423)-ROW(tblOrtak[[#Headers],[Tarih]])-1)=$B423,INDEX(tblOrtak[Bakiye (₺)],ROW($A423)-ROW(tblOrtak[[#Headers],[Tarih]])-1)+$E423,$E423),$E423))</f>
        <v/>
      </c>
      <c r="G423" s="19" t="str">
        <f aca="false">IF($A423="","",IFERROR(IF(INDEX(tblOrtak[Tarih],ROW($A423)-ROW(tblOrtak[[#Headers],[Tarih]])+1)=0,RaporTarihi,INDEX(tblOrtak[Tarih],ROW($A423)-ROW(tblOrtak[[#Headers],[Tarih]])+1))-$A423,RaporTarihi-$A423))</f>
        <v/>
      </c>
      <c r="H423" s="18" t="n">
        <f aca="false">IF($F423="",0,ROUND($F423*$G423,0))</f>
        <v>0</v>
      </c>
      <c r="I423" s="18" t="n">
        <f aca="false">IF($H423="",0,ROUND($H423*AdatFaizOran/AdatYilGunSayisi,2))</f>
        <v>0</v>
      </c>
      <c r="J423" s="22"/>
    </row>
    <row r="424" customFormat="false" ht="15" hidden="false" customHeight="false" outlineLevel="0" collapsed="false">
      <c r="A424" s="21"/>
      <c r="B424" s="22"/>
      <c r="C424" s="22"/>
      <c r="D424" s="23"/>
      <c r="E424" s="20" t="str">
        <f aca="false">IF($A424="","",IF($C424="Borç",-$D424,$D424))</f>
        <v/>
      </c>
      <c r="F424" s="18" t="str">
        <f aca="false">IF($A424="","",IFERROR(IF(INDEX(tblOrtak[Ortak Adı],ROW($A424)-ROW(tblOrtak[[#Headers],[Tarih]])-1)=$B424,INDEX(tblOrtak[Bakiye (₺)],ROW($A424)-ROW(tblOrtak[[#Headers],[Tarih]])-1)+$E424,$E424),$E424))</f>
        <v/>
      </c>
      <c r="G424" s="19" t="str">
        <f aca="false">IF($A424="","",IFERROR(IF(INDEX(tblOrtak[Tarih],ROW($A424)-ROW(tblOrtak[[#Headers],[Tarih]])+1)=0,RaporTarihi,INDEX(tblOrtak[Tarih],ROW($A424)-ROW(tblOrtak[[#Headers],[Tarih]])+1))-$A424,RaporTarihi-$A424))</f>
        <v/>
      </c>
      <c r="H424" s="18" t="n">
        <f aca="false">IF($F424="",0,ROUND($F424*$G424,0))</f>
        <v>0</v>
      </c>
      <c r="I424" s="18" t="n">
        <f aca="false">IF($H424="",0,ROUND($H424*AdatFaizOran/AdatYilGunSayisi,2))</f>
        <v>0</v>
      </c>
      <c r="J424" s="22"/>
    </row>
    <row r="425" customFormat="false" ht="15" hidden="false" customHeight="false" outlineLevel="0" collapsed="false">
      <c r="A425" s="21"/>
      <c r="B425" s="22"/>
      <c r="C425" s="22"/>
      <c r="D425" s="23"/>
      <c r="E425" s="20" t="str">
        <f aca="false">IF($A425="","",IF($C425="Borç",-$D425,$D425))</f>
        <v/>
      </c>
      <c r="F425" s="18" t="str">
        <f aca="false">IF($A425="","",IFERROR(IF(INDEX(tblOrtak[Ortak Adı],ROW($A425)-ROW(tblOrtak[[#Headers],[Tarih]])-1)=$B425,INDEX(tblOrtak[Bakiye (₺)],ROW($A425)-ROW(tblOrtak[[#Headers],[Tarih]])-1)+$E425,$E425),$E425))</f>
        <v/>
      </c>
      <c r="G425" s="19" t="str">
        <f aca="false">IF($A425="","",IFERROR(IF(INDEX(tblOrtak[Tarih],ROW($A425)-ROW(tblOrtak[[#Headers],[Tarih]])+1)=0,RaporTarihi,INDEX(tblOrtak[Tarih],ROW($A425)-ROW(tblOrtak[[#Headers],[Tarih]])+1))-$A425,RaporTarihi-$A425))</f>
        <v/>
      </c>
      <c r="H425" s="18" t="n">
        <f aca="false">IF($F425="",0,ROUND($F425*$G425,0))</f>
        <v>0</v>
      </c>
      <c r="I425" s="18" t="n">
        <f aca="false">IF($H425="",0,ROUND($H425*AdatFaizOran/AdatYilGunSayisi,2))</f>
        <v>0</v>
      </c>
      <c r="J425" s="22"/>
    </row>
    <row r="426" customFormat="false" ht="15" hidden="false" customHeight="false" outlineLevel="0" collapsed="false">
      <c r="A426" s="21"/>
      <c r="B426" s="22"/>
      <c r="C426" s="22"/>
      <c r="D426" s="23"/>
      <c r="E426" s="20" t="str">
        <f aca="false">IF($A426="","",IF($C426="Borç",-$D426,$D426))</f>
        <v/>
      </c>
      <c r="F426" s="18" t="str">
        <f aca="false">IF($A426="","",IFERROR(IF(INDEX(tblOrtak[Ortak Adı],ROW($A426)-ROW(tblOrtak[[#Headers],[Tarih]])-1)=$B426,INDEX(tblOrtak[Bakiye (₺)],ROW($A426)-ROW(tblOrtak[[#Headers],[Tarih]])-1)+$E426,$E426),$E426))</f>
        <v/>
      </c>
      <c r="G426" s="19" t="str">
        <f aca="false">IF($A426="","",IFERROR(IF(INDEX(tblOrtak[Tarih],ROW($A426)-ROW(tblOrtak[[#Headers],[Tarih]])+1)=0,RaporTarihi,INDEX(tblOrtak[Tarih],ROW($A426)-ROW(tblOrtak[[#Headers],[Tarih]])+1))-$A426,RaporTarihi-$A426))</f>
        <v/>
      </c>
      <c r="H426" s="18" t="n">
        <f aca="false">IF($F426="",0,ROUND($F426*$G426,0))</f>
        <v>0</v>
      </c>
      <c r="I426" s="18" t="n">
        <f aca="false">IF($H426="",0,ROUND($H426*AdatFaizOran/AdatYilGunSayisi,2))</f>
        <v>0</v>
      </c>
      <c r="J426" s="22"/>
    </row>
    <row r="427" customFormat="false" ht="15" hidden="false" customHeight="false" outlineLevel="0" collapsed="false">
      <c r="A427" s="21"/>
      <c r="B427" s="22"/>
      <c r="C427" s="22"/>
      <c r="D427" s="23"/>
      <c r="E427" s="20" t="str">
        <f aca="false">IF($A427="","",IF($C427="Borç",-$D427,$D427))</f>
        <v/>
      </c>
      <c r="F427" s="18" t="str">
        <f aca="false">IF($A427="","",IFERROR(IF(INDEX(tblOrtak[Ortak Adı],ROW($A427)-ROW(tblOrtak[[#Headers],[Tarih]])-1)=$B427,INDEX(tblOrtak[Bakiye (₺)],ROW($A427)-ROW(tblOrtak[[#Headers],[Tarih]])-1)+$E427,$E427),$E427))</f>
        <v/>
      </c>
      <c r="G427" s="19" t="str">
        <f aca="false">IF($A427="","",IFERROR(IF(INDEX(tblOrtak[Tarih],ROW($A427)-ROW(tblOrtak[[#Headers],[Tarih]])+1)=0,RaporTarihi,INDEX(tblOrtak[Tarih],ROW($A427)-ROW(tblOrtak[[#Headers],[Tarih]])+1))-$A427,RaporTarihi-$A427))</f>
        <v/>
      </c>
      <c r="H427" s="18" t="n">
        <f aca="false">IF($F427="",0,ROUND($F427*$G427,0))</f>
        <v>0</v>
      </c>
      <c r="I427" s="18" t="n">
        <f aca="false">IF($H427="",0,ROUND($H427*AdatFaizOran/AdatYilGunSayisi,2))</f>
        <v>0</v>
      </c>
      <c r="J427" s="22"/>
    </row>
    <row r="428" customFormat="false" ht="15" hidden="false" customHeight="false" outlineLevel="0" collapsed="false">
      <c r="A428" s="21"/>
      <c r="B428" s="22"/>
      <c r="C428" s="22"/>
      <c r="D428" s="23"/>
      <c r="E428" s="20" t="str">
        <f aca="false">IF($A428="","",IF($C428="Borç",-$D428,$D428))</f>
        <v/>
      </c>
      <c r="F428" s="18" t="str">
        <f aca="false">IF($A428="","",IFERROR(IF(INDEX(tblOrtak[Ortak Adı],ROW($A428)-ROW(tblOrtak[[#Headers],[Tarih]])-1)=$B428,INDEX(tblOrtak[Bakiye (₺)],ROW($A428)-ROW(tblOrtak[[#Headers],[Tarih]])-1)+$E428,$E428),$E428))</f>
        <v/>
      </c>
      <c r="G428" s="19" t="str">
        <f aca="false">IF($A428="","",IFERROR(IF(INDEX(tblOrtak[Tarih],ROW($A428)-ROW(tblOrtak[[#Headers],[Tarih]])+1)=0,RaporTarihi,INDEX(tblOrtak[Tarih],ROW($A428)-ROW(tblOrtak[[#Headers],[Tarih]])+1))-$A428,RaporTarihi-$A428))</f>
        <v/>
      </c>
      <c r="H428" s="18" t="n">
        <f aca="false">IF($F428="",0,ROUND($F428*$G428,0))</f>
        <v>0</v>
      </c>
      <c r="I428" s="18" t="n">
        <f aca="false">IF($H428="",0,ROUND($H428*AdatFaizOran/AdatYilGunSayisi,2))</f>
        <v>0</v>
      </c>
      <c r="J428" s="22"/>
    </row>
    <row r="429" customFormat="false" ht="15" hidden="false" customHeight="false" outlineLevel="0" collapsed="false">
      <c r="A429" s="21"/>
      <c r="B429" s="22"/>
      <c r="C429" s="22"/>
      <c r="D429" s="23"/>
      <c r="E429" s="20" t="str">
        <f aca="false">IF($A429="","",IF($C429="Borç",-$D429,$D429))</f>
        <v/>
      </c>
      <c r="F429" s="18" t="str">
        <f aca="false">IF($A429="","",IFERROR(IF(INDEX(tblOrtak[Ortak Adı],ROW($A429)-ROW(tblOrtak[[#Headers],[Tarih]])-1)=$B429,INDEX(tblOrtak[Bakiye (₺)],ROW($A429)-ROW(tblOrtak[[#Headers],[Tarih]])-1)+$E429,$E429),$E429))</f>
        <v/>
      </c>
      <c r="G429" s="19" t="str">
        <f aca="false">IF($A429="","",IFERROR(IF(INDEX(tblOrtak[Tarih],ROW($A429)-ROW(tblOrtak[[#Headers],[Tarih]])+1)=0,RaporTarihi,INDEX(tblOrtak[Tarih],ROW($A429)-ROW(tblOrtak[[#Headers],[Tarih]])+1))-$A429,RaporTarihi-$A429))</f>
        <v/>
      </c>
      <c r="H429" s="18" t="n">
        <f aca="false">IF($F429="",0,ROUND($F429*$G429,0))</f>
        <v>0</v>
      </c>
      <c r="I429" s="18" t="n">
        <f aca="false">IF($H429="",0,ROUND($H429*AdatFaizOran/AdatYilGunSayisi,2))</f>
        <v>0</v>
      </c>
      <c r="J429" s="22"/>
    </row>
    <row r="430" customFormat="false" ht="15" hidden="false" customHeight="false" outlineLevel="0" collapsed="false">
      <c r="A430" s="21"/>
      <c r="B430" s="22"/>
      <c r="C430" s="22"/>
      <c r="D430" s="23"/>
      <c r="E430" s="20" t="str">
        <f aca="false">IF($A430="","",IF($C430="Borç",-$D430,$D430))</f>
        <v/>
      </c>
      <c r="F430" s="18" t="str">
        <f aca="false">IF($A430="","",IFERROR(IF(INDEX(tblOrtak[Ortak Adı],ROW($A430)-ROW(tblOrtak[[#Headers],[Tarih]])-1)=$B430,INDEX(tblOrtak[Bakiye (₺)],ROW($A430)-ROW(tblOrtak[[#Headers],[Tarih]])-1)+$E430,$E430),$E430))</f>
        <v/>
      </c>
      <c r="G430" s="19" t="str">
        <f aca="false">IF($A430="","",IFERROR(IF(INDEX(tblOrtak[Tarih],ROW($A430)-ROW(tblOrtak[[#Headers],[Tarih]])+1)=0,RaporTarihi,INDEX(tblOrtak[Tarih],ROW($A430)-ROW(tblOrtak[[#Headers],[Tarih]])+1))-$A430,RaporTarihi-$A430))</f>
        <v/>
      </c>
      <c r="H430" s="18" t="n">
        <f aca="false">IF($F430="",0,ROUND($F430*$G430,0))</f>
        <v>0</v>
      </c>
      <c r="I430" s="18" t="n">
        <f aca="false">IF($H430="",0,ROUND($H430*AdatFaizOran/AdatYilGunSayisi,2))</f>
        <v>0</v>
      </c>
      <c r="J430" s="22"/>
    </row>
    <row r="431" customFormat="false" ht="15" hidden="false" customHeight="false" outlineLevel="0" collapsed="false">
      <c r="A431" s="21"/>
      <c r="B431" s="22"/>
      <c r="C431" s="22"/>
      <c r="D431" s="23"/>
      <c r="E431" s="20" t="str">
        <f aca="false">IF($A431="","",IF($C431="Borç",-$D431,$D431))</f>
        <v/>
      </c>
      <c r="F431" s="18" t="str">
        <f aca="false">IF($A431="","",IFERROR(IF(INDEX(tblOrtak[Ortak Adı],ROW($A431)-ROW(tblOrtak[[#Headers],[Tarih]])-1)=$B431,INDEX(tblOrtak[Bakiye (₺)],ROW($A431)-ROW(tblOrtak[[#Headers],[Tarih]])-1)+$E431,$E431),$E431))</f>
        <v/>
      </c>
      <c r="G431" s="19" t="str">
        <f aca="false">IF($A431="","",IFERROR(IF(INDEX(tblOrtak[Tarih],ROW($A431)-ROW(tblOrtak[[#Headers],[Tarih]])+1)=0,RaporTarihi,INDEX(tblOrtak[Tarih],ROW($A431)-ROW(tblOrtak[[#Headers],[Tarih]])+1))-$A431,RaporTarihi-$A431))</f>
        <v/>
      </c>
      <c r="H431" s="18" t="n">
        <f aca="false">IF($F431="",0,ROUND($F431*$G431,0))</f>
        <v>0</v>
      </c>
      <c r="I431" s="18" t="n">
        <f aca="false">IF($H431="",0,ROUND($H431*AdatFaizOran/AdatYilGunSayisi,2))</f>
        <v>0</v>
      </c>
      <c r="J431" s="22"/>
    </row>
    <row r="432" customFormat="false" ht="15" hidden="false" customHeight="false" outlineLevel="0" collapsed="false">
      <c r="A432" s="21"/>
      <c r="B432" s="22"/>
      <c r="C432" s="22"/>
      <c r="D432" s="23"/>
      <c r="E432" s="20" t="str">
        <f aca="false">IF($A432="","",IF($C432="Borç",-$D432,$D432))</f>
        <v/>
      </c>
      <c r="F432" s="18" t="str">
        <f aca="false">IF($A432="","",IFERROR(IF(INDEX(tblOrtak[Ortak Adı],ROW($A432)-ROW(tblOrtak[[#Headers],[Tarih]])-1)=$B432,INDEX(tblOrtak[Bakiye (₺)],ROW($A432)-ROW(tblOrtak[[#Headers],[Tarih]])-1)+$E432,$E432),$E432))</f>
        <v/>
      </c>
      <c r="G432" s="19" t="str">
        <f aca="false">IF($A432="","",IFERROR(IF(INDEX(tblOrtak[Tarih],ROW($A432)-ROW(tblOrtak[[#Headers],[Tarih]])+1)=0,RaporTarihi,INDEX(tblOrtak[Tarih],ROW($A432)-ROW(tblOrtak[[#Headers],[Tarih]])+1))-$A432,RaporTarihi-$A432))</f>
        <v/>
      </c>
      <c r="H432" s="18" t="n">
        <f aca="false">IF($F432="",0,ROUND($F432*$G432,0))</f>
        <v>0</v>
      </c>
      <c r="I432" s="18" t="n">
        <f aca="false">IF($H432="",0,ROUND($H432*AdatFaizOran/AdatYilGunSayisi,2))</f>
        <v>0</v>
      </c>
      <c r="J432" s="22"/>
    </row>
    <row r="433" customFormat="false" ht="15" hidden="false" customHeight="false" outlineLevel="0" collapsed="false">
      <c r="A433" s="21"/>
      <c r="B433" s="22"/>
      <c r="C433" s="22"/>
      <c r="D433" s="23"/>
      <c r="E433" s="20" t="str">
        <f aca="false">IF($A433="","",IF($C433="Borç",-$D433,$D433))</f>
        <v/>
      </c>
      <c r="F433" s="18" t="str">
        <f aca="false">IF($A433="","",IFERROR(IF(INDEX(tblOrtak[Ortak Adı],ROW($A433)-ROW(tblOrtak[[#Headers],[Tarih]])-1)=$B433,INDEX(tblOrtak[Bakiye (₺)],ROW($A433)-ROW(tblOrtak[[#Headers],[Tarih]])-1)+$E433,$E433),$E433))</f>
        <v/>
      </c>
      <c r="G433" s="19" t="str">
        <f aca="false">IF($A433="","",IFERROR(IF(INDEX(tblOrtak[Tarih],ROW($A433)-ROW(tblOrtak[[#Headers],[Tarih]])+1)=0,RaporTarihi,INDEX(tblOrtak[Tarih],ROW($A433)-ROW(tblOrtak[[#Headers],[Tarih]])+1))-$A433,RaporTarihi-$A433))</f>
        <v/>
      </c>
      <c r="H433" s="18" t="n">
        <f aca="false">IF($F433="",0,ROUND($F433*$G433,0))</f>
        <v>0</v>
      </c>
      <c r="I433" s="18" t="n">
        <f aca="false">IF($H433="",0,ROUND($H433*AdatFaizOran/AdatYilGunSayisi,2))</f>
        <v>0</v>
      </c>
      <c r="J433" s="22"/>
    </row>
    <row r="434" customFormat="false" ht="15" hidden="false" customHeight="false" outlineLevel="0" collapsed="false">
      <c r="A434" s="21"/>
      <c r="B434" s="22"/>
      <c r="C434" s="22"/>
      <c r="D434" s="23"/>
      <c r="E434" s="20" t="str">
        <f aca="false">IF($A434="","",IF($C434="Borç",-$D434,$D434))</f>
        <v/>
      </c>
      <c r="F434" s="18" t="str">
        <f aca="false">IF($A434="","",IFERROR(IF(INDEX(tblOrtak[Ortak Adı],ROW($A434)-ROW(tblOrtak[[#Headers],[Tarih]])-1)=$B434,INDEX(tblOrtak[Bakiye (₺)],ROW($A434)-ROW(tblOrtak[[#Headers],[Tarih]])-1)+$E434,$E434),$E434))</f>
        <v/>
      </c>
      <c r="G434" s="19" t="str">
        <f aca="false">IF($A434="","",IFERROR(IF(INDEX(tblOrtak[Tarih],ROW($A434)-ROW(tblOrtak[[#Headers],[Tarih]])+1)=0,RaporTarihi,INDEX(tblOrtak[Tarih],ROW($A434)-ROW(tblOrtak[[#Headers],[Tarih]])+1))-$A434,RaporTarihi-$A434))</f>
        <v/>
      </c>
      <c r="H434" s="18" t="n">
        <f aca="false">IF($F434="",0,ROUND($F434*$G434,0))</f>
        <v>0</v>
      </c>
      <c r="I434" s="18" t="n">
        <f aca="false">IF($H434="",0,ROUND($H434*AdatFaizOran/AdatYilGunSayisi,2))</f>
        <v>0</v>
      </c>
      <c r="J434" s="22"/>
    </row>
    <row r="435" customFormat="false" ht="15" hidden="false" customHeight="false" outlineLevel="0" collapsed="false">
      <c r="A435" s="21"/>
      <c r="B435" s="22"/>
      <c r="C435" s="22"/>
      <c r="D435" s="23"/>
      <c r="E435" s="20" t="str">
        <f aca="false">IF($A435="","",IF($C435="Borç",-$D435,$D435))</f>
        <v/>
      </c>
      <c r="F435" s="18" t="str">
        <f aca="false">IF($A435="","",IFERROR(IF(INDEX(tblOrtak[Ortak Adı],ROW($A435)-ROW(tblOrtak[[#Headers],[Tarih]])-1)=$B435,INDEX(tblOrtak[Bakiye (₺)],ROW($A435)-ROW(tblOrtak[[#Headers],[Tarih]])-1)+$E435,$E435),$E435))</f>
        <v/>
      </c>
      <c r="G435" s="19" t="str">
        <f aca="false">IF($A435="","",IFERROR(IF(INDEX(tblOrtak[Tarih],ROW($A435)-ROW(tblOrtak[[#Headers],[Tarih]])+1)=0,RaporTarihi,INDEX(tblOrtak[Tarih],ROW($A435)-ROW(tblOrtak[[#Headers],[Tarih]])+1))-$A435,RaporTarihi-$A435))</f>
        <v/>
      </c>
      <c r="H435" s="18" t="n">
        <f aca="false">IF($F435="",0,ROUND($F435*$G435,0))</f>
        <v>0</v>
      </c>
      <c r="I435" s="18" t="n">
        <f aca="false">IF($H435="",0,ROUND($H435*AdatFaizOran/AdatYilGunSayisi,2))</f>
        <v>0</v>
      </c>
      <c r="J435" s="22"/>
    </row>
    <row r="436" customFormat="false" ht="15" hidden="false" customHeight="false" outlineLevel="0" collapsed="false">
      <c r="A436" s="21"/>
      <c r="B436" s="22"/>
      <c r="C436" s="22"/>
      <c r="D436" s="23"/>
      <c r="E436" s="20" t="str">
        <f aca="false">IF($A436="","",IF($C436="Borç",-$D436,$D436))</f>
        <v/>
      </c>
      <c r="F436" s="18" t="str">
        <f aca="false">IF($A436="","",IFERROR(IF(INDEX(tblOrtak[Ortak Adı],ROW($A436)-ROW(tblOrtak[[#Headers],[Tarih]])-1)=$B436,INDEX(tblOrtak[Bakiye (₺)],ROW($A436)-ROW(tblOrtak[[#Headers],[Tarih]])-1)+$E436,$E436),$E436))</f>
        <v/>
      </c>
      <c r="G436" s="19" t="str">
        <f aca="false">IF($A436="","",IFERROR(IF(INDEX(tblOrtak[Tarih],ROW($A436)-ROW(tblOrtak[[#Headers],[Tarih]])+1)=0,RaporTarihi,INDEX(tblOrtak[Tarih],ROW($A436)-ROW(tblOrtak[[#Headers],[Tarih]])+1))-$A436,RaporTarihi-$A436))</f>
        <v/>
      </c>
      <c r="H436" s="18" t="n">
        <f aca="false">IF($F436="",0,ROUND($F436*$G436,0))</f>
        <v>0</v>
      </c>
      <c r="I436" s="18" t="n">
        <f aca="false">IF($H436="",0,ROUND($H436*AdatFaizOran/AdatYilGunSayisi,2))</f>
        <v>0</v>
      </c>
      <c r="J436" s="22"/>
    </row>
    <row r="437" customFormat="false" ht="15" hidden="false" customHeight="false" outlineLevel="0" collapsed="false">
      <c r="A437" s="21"/>
      <c r="B437" s="22"/>
      <c r="C437" s="22"/>
      <c r="D437" s="23"/>
      <c r="E437" s="20" t="str">
        <f aca="false">IF($A437="","",IF($C437="Borç",-$D437,$D437))</f>
        <v/>
      </c>
      <c r="F437" s="18" t="str">
        <f aca="false">IF($A437="","",IFERROR(IF(INDEX(tblOrtak[Ortak Adı],ROW($A437)-ROW(tblOrtak[[#Headers],[Tarih]])-1)=$B437,INDEX(tblOrtak[Bakiye (₺)],ROW($A437)-ROW(tblOrtak[[#Headers],[Tarih]])-1)+$E437,$E437),$E437))</f>
        <v/>
      </c>
      <c r="G437" s="19" t="str">
        <f aca="false">IF($A437="","",IFERROR(IF(INDEX(tblOrtak[Tarih],ROW($A437)-ROW(tblOrtak[[#Headers],[Tarih]])+1)=0,RaporTarihi,INDEX(tblOrtak[Tarih],ROW($A437)-ROW(tblOrtak[[#Headers],[Tarih]])+1))-$A437,RaporTarihi-$A437))</f>
        <v/>
      </c>
      <c r="H437" s="18" t="n">
        <f aca="false">IF($F437="",0,ROUND($F437*$G437,0))</f>
        <v>0</v>
      </c>
      <c r="I437" s="18" t="n">
        <f aca="false">IF($H437="",0,ROUND($H437*AdatFaizOran/AdatYilGunSayisi,2))</f>
        <v>0</v>
      </c>
      <c r="J437" s="22"/>
    </row>
    <row r="438" customFormat="false" ht="15" hidden="false" customHeight="false" outlineLevel="0" collapsed="false">
      <c r="A438" s="21"/>
      <c r="B438" s="22"/>
      <c r="C438" s="22"/>
      <c r="D438" s="23"/>
      <c r="E438" s="20" t="str">
        <f aca="false">IF($A438="","",IF($C438="Borç",-$D438,$D438))</f>
        <v/>
      </c>
      <c r="F438" s="18" t="str">
        <f aca="false">IF($A438="","",IFERROR(IF(INDEX(tblOrtak[Ortak Adı],ROW($A438)-ROW(tblOrtak[[#Headers],[Tarih]])-1)=$B438,INDEX(tblOrtak[Bakiye (₺)],ROW($A438)-ROW(tblOrtak[[#Headers],[Tarih]])-1)+$E438,$E438),$E438))</f>
        <v/>
      </c>
      <c r="G438" s="19" t="str">
        <f aca="false">IF($A438="","",IFERROR(IF(INDEX(tblOrtak[Tarih],ROW($A438)-ROW(tblOrtak[[#Headers],[Tarih]])+1)=0,RaporTarihi,INDEX(tblOrtak[Tarih],ROW($A438)-ROW(tblOrtak[[#Headers],[Tarih]])+1))-$A438,RaporTarihi-$A438))</f>
        <v/>
      </c>
      <c r="H438" s="18" t="n">
        <f aca="false">IF($F438="",0,ROUND($F438*$G438,0))</f>
        <v>0</v>
      </c>
      <c r="I438" s="18" t="n">
        <f aca="false">IF($H438="",0,ROUND($H438*AdatFaizOran/AdatYilGunSayisi,2))</f>
        <v>0</v>
      </c>
      <c r="J438" s="22"/>
    </row>
    <row r="439" customFormat="false" ht="15" hidden="false" customHeight="false" outlineLevel="0" collapsed="false">
      <c r="A439" s="21"/>
      <c r="B439" s="22"/>
      <c r="C439" s="22"/>
      <c r="D439" s="23"/>
      <c r="E439" s="20" t="str">
        <f aca="false">IF($A439="","",IF($C439="Borç",-$D439,$D439))</f>
        <v/>
      </c>
      <c r="F439" s="18" t="str">
        <f aca="false">IF($A439="","",IFERROR(IF(INDEX(tblOrtak[Ortak Adı],ROW($A439)-ROW(tblOrtak[[#Headers],[Tarih]])-1)=$B439,INDEX(tblOrtak[Bakiye (₺)],ROW($A439)-ROW(tblOrtak[[#Headers],[Tarih]])-1)+$E439,$E439),$E439))</f>
        <v/>
      </c>
      <c r="G439" s="19" t="str">
        <f aca="false">IF($A439="","",IFERROR(IF(INDEX(tblOrtak[Tarih],ROW($A439)-ROW(tblOrtak[[#Headers],[Tarih]])+1)=0,RaporTarihi,INDEX(tblOrtak[Tarih],ROW($A439)-ROW(tblOrtak[[#Headers],[Tarih]])+1))-$A439,RaporTarihi-$A439))</f>
        <v/>
      </c>
      <c r="H439" s="18" t="n">
        <f aca="false">IF($F439="",0,ROUND($F439*$G439,0))</f>
        <v>0</v>
      </c>
      <c r="I439" s="18" t="n">
        <f aca="false">IF($H439="",0,ROUND($H439*AdatFaizOran/AdatYilGunSayisi,2))</f>
        <v>0</v>
      </c>
      <c r="J439" s="22"/>
    </row>
    <row r="440" customFormat="false" ht="15" hidden="false" customHeight="false" outlineLevel="0" collapsed="false">
      <c r="A440" s="21"/>
      <c r="B440" s="22"/>
      <c r="C440" s="22"/>
      <c r="D440" s="23"/>
      <c r="E440" s="20" t="str">
        <f aca="false">IF($A440="","",IF($C440="Borç",-$D440,$D440))</f>
        <v/>
      </c>
      <c r="F440" s="18" t="str">
        <f aca="false">IF($A440="","",IFERROR(IF(INDEX(tblOrtak[Ortak Adı],ROW($A440)-ROW(tblOrtak[[#Headers],[Tarih]])-1)=$B440,INDEX(tblOrtak[Bakiye (₺)],ROW($A440)-ROW(tblOrtak[[#Headers],[Tarih]])-1)+$E440,$E440),$E440))</f>
        <v/>
      </c>
      <c r="G440" s="19" t="str">
        <f aca="false">IF($A440="","",IFERROR(IF(INDEX(tblOrtak[Tarih],ROW($A440)-ROW(tblOrtak[[#Headers],[Tarih]])+1)=0,RaporTarihi,INDEX(tblOrtak[Tarih],ROW($A440)-ROW(tblOrtak[[#Headers],[Tarih]])+1))-$A440,RaporTarihi-$A440))</f>
        <v/>
      </c>
      <c r="H440" s="18" t="n">
        <f aca="false">IF($F440="",0,ROUND($F440*$G440,0))</f>
        <v>0</v>
      </c>
      <c r="I440" s="18" t="n">
        <f aca="false">IF($H440="",0,ROUND($H440*AdatFaizOran/AdatYilGunSayisi,2))</f>
        <v>0</v>
      </c>
      <c r="J440" s="22"/>
    </row>
    <row r="441" customFormat="false" ht="15" hidden="false" customHeight="false" outlineLevel="0" collapsed="false">
      <c r="A441" s="21"/>
      <c r="B441" s="22"/>
      <c r="C441" s="22"/>
      <c r="D441" s="23"/>
      <c r="E441" s="20" t="str">
        <f aca="false">IF($A441="","",IF($C441="Borç",-$D441,$D441))</f>
        <v/>
      </c>
      <c r="F441" s="18" t="str">
        <f aca="false">IF($A441="","",IFERROR(IF(INDEX(tblOrtak[Ortak Adı],ROW($A441)-ROW(tblOrtak[[#Headers],[Tarih]])-1)=$B441,INDEX(tblOrtak[Bakiye (₺)],ROW($A441)-ROW(tblOrtak[[#Headers],[Tarih]])-1)+$E441,$E441),$E441))</f>
        <v/>
      </c>
      <c r="G441" s="19" t="str">
        <f aca="false">IF($A441="","",IFERROR(IF(INDEX(tblOrtak[Tarih],ROW($A441)-ROW(tblOrtak[[#Headers],[Tarih]])+1)=0,RaporTarihi,INDEX(tblOrtak[Tarih],ROW($A441)-ROW(tblOrtak[[#Headers],[Tarih]])+1))-$A441,RaporTarihi-$A441))</f>
        <v/>
      </c>
      <c r="H441" s="18" t="n">
        <f aca="false">IF($F441="",0,ROUND($F441*$G441,0))</f>
        <v>0</v>
      </c>
      <c r="I441" s="18" t="n">
        <f aca="false">IF($H441="",0,ROUND($H441*AdatFaizOran/AdatYilGunSayisi,2))</f>
        <v>0</v>
      </c>
      <c r="J441" s="22"/>
    </row>
    <row r="442" customFormat="false" ht="15" hidden="false" customHeight="false" outlineLevel="0" collapsed="false">
      <c r="A442" s="21"/>
      <c r="B442" s="22"/>
      <c r="C442" s="22"/>
      <c r="D442" s="23"/>
      <c r="E442" s="20" t="str">
        <f aca="false">IF($A442="","",IF($C442="Borç",-$D442,$D442))</f>
        <v/>
      </c>
      <c r="F442" s="18" t="str">
        <f aca="false">IF($A442="","",IFERROR(IF(INDEX(tblOrtak[Ortak Adı],ROW($A442)-ROW(tblOrtak[[#Headers],[Tarih]])-1)=$B442,INDEX(tblOrtak[Bakiye (₺)],ROW($A442)-ROW(tblOrtak[[#Headers],[Tarih]])-1)+$E442,$E442),$E442))</f>
        <v/>
      </c>
      <c r="G442" s="19" t="str">
        <f aca="false">IF($A442="","",IFERROR(IF(INDEX(tblOrtak[Tarih],ROW($A442)-ROW(tblOrtak[[#Headers],[Tarih]])+1)=0,RaporTarihi,INDEX(tblOrtak[Tarih],ROW($A442)-ROW(tblOrtak[[#Headers],[Tarih]])+1))-$A442,RaporTarihi-$A442))</f>
        <v/>
      </c>
      <c r="H442" s="18" t="n">
        <f aca="false">IF($F442="",0,ROUND($F442*$G442,0))</f>
        <v>0</v>
      </c>
      <c r="I442" s="18" t="n">
        <f aca="false">IF($H442="",0,ROUND($H442*AdatFaizOran/AdatYilGunSayisi,2))</f>
        <v>0</v>
      </c>
      <c r="J442" s="22"/>
    </row>
    <row r="443" customFormat="false" ht="15" hidden="false" customHeight="false" outlineLevel="0" collapsed="false">
      <c r="A443" s="21"/>
      <c r="B443" s="22"/>
      <c r="C443" s="22"/>
      <c r="D443" s="23"/>
      <c r="E443" s="20" t="str">
        <f aca="false">IF($A443="","",IF($C443="Borç",-$D443,$D443))</f>
        <v/>
      </c>
      <c r="F443" s="18" t="str">
        <f aca="false">IF($A443="","",IFERROR(IF(INDEX(tblOrtak[Ortak Adı],ROW($A443)-ROW(tblOrtak[[#Headers],[Tarih]])-1)=$B443,INDEX(tblOrtak[Bakiye (₺)],ROW($A443)-ROW(tblOrtak[[#Headers],[Tarih]])-1)+$E443,$E443),$E443))</f>
        <v/>
      </c>
      <c r="G443" s="19" t="str">
        <f aca="false">IF($A443="","",IFERROR(IF(INDEX(tblOrtak[Tarih],ROW($A443)-ROW(tblOrtak[[#Headers],[Tarih]])+1)=0,RaporTarihi,INDEX(tblOrtak[Tarih],ROW($A443)-ROW(tblOrtak[[#Headers],[Tarih]])+1))-$A443,RaporTarihi-$A443))</f>
        <v/>
      </c>
      <c r="H443" s="18" t="n">
        <f aca="false">IF($F443="",0,ROUND($F443*$G443,0))</f>
        <v>0</v>
      </c>
      <c r="I443" s="18" t="n">
        <f aca="false">IF($H443="",0,ROUND($H443*AdatFaizOran/AdatYilGunSayisi,2))</f>
        <v>0</v>
      </c>
      <c r="J443" s="22"/>
    </row>
    <row r="444" customFormat="false" ht="15" hidden="false" customHeight="false" outlineLevel="0" collapsed="false">
      <c r="A444" s="21"/>
      <c r="B444" s="22"/>
      <c r="C444" s="22"/>
      <c r="D444" s="23"/>
      <c r="E444" s="20" t="str">
        <f aca="false">IF($A444="","",IF($C444="Borç",-$D444,$D444))</f>
        <v/>
      </c>
      <c r="F444" s="18" t="str">
        <f aca="false">IF($A444="","",IFERROR(IF(INDEX(tblOrtak[Ortak Adı],ROW($A444)-ROW(tblOrtak[[#Headers],[Tarih]])-1)=$B444,INDEX(tblOrtak[Bakiye (₺)],ROW($A444)-ROW(tblOrtak[[#Headers],[Tarih]])-1)+$E444,$E444),$E444))</f>
        <v/>
      </c>
      <c r="G444" s="19" t="str">
        <f aca="false">IF($A444="","",IFERROR(IF(INDEX(tblOrtak[Tarih],ROW($A444)-ROW(tblOrtak[[#Headers],[Tarih]])+1)=0,RaporTarihi,INDEX(tblOrtak[Tarih],ROW($A444)-ROW(tblOrtak[[#Headers],[Tarih]])+1))-$A444,RaporTarihi-$A444))</f>
        <v/>
      </c>
      <c r="H444" s="18" t="n">
        <f aca="false">IF($F444="",0,ROUND($F444*$G444,0))</f>
        <v>0</v>
      </c>
      <c r="I444" s="18" t="n">
        <f aca="false">IF($H444="",0,ROUND($H444*AdatFaizOran/AdatYilGunSayisi,2))</f>
        <v>0</v>
      </c>
      <c r="J444" s="22"/>
    </row>
    <row r="445" customFormat="false" ht="15" hidden="false" customHeight="false" outlineLevel="0" collapsed="false">
      <c r="A445" s="21"/>
      <c r="B445" s="22"/>
      <c r="C445" s="22"/>
      <c r="D445" s="23"/>
      <c r="E445" s="20" t="str">
        <f aca="false">IF($A445="","",IF($C445="Borç",-$D445,$D445))</f>
        <v/>
      </c>
      <c r="F445" s="18" t="str">
        <f aca="false">IF($A445="","",IFERROR(IF(INDEX(tblOrtak[Ortak Adı],ROW($A445)-ROW(tblOrtak[[#Headers],[Tarih]])-1)=$B445,INDEX(tblOrtak[Bakiye (₺)],ROW($A445)-ROW(tblOrtak[[#Headers],[Tarih]])-1)+$E445,$E445),$E445))</f>
        <v/>
      </c>
      <c r="G445" s="19" t="str">
        <f aca="false">IF($A445="","",IFERROR(IF(INDEX(tblOrtak[Tarih],ROW($A445)-ROW(tblOrtak[[#Headers],[Tarih]])+1)=0,RaporTarihi,INDEX(tblOrtak[Tarih],ROW($A445)-ROW(tblOrtak[[#Headers],[Tarih]])+1))-$A445,RaporTarihi-$A445))</f>
        <v/>
      </c>
      <c r="H445" s="18" t="n">
        <f aca="false">IF($F445="",0,ROUND($F445*$G445,0))</f>
        <v>0</v>
      </c>
      <c r="I445" s="18" t="n">
        <f aca="false">IF($H445="",0,ROUND($H445*AdatFaizOran/AdatYilGunSayisi,2))</f>
        <v>0</v>
      </c>
      <c r="J445" s="22"/>
    </row>
    <row r="446" customFormat="false" ht="15" hidden="false" customHeight="false" outlineLevel="0" collapsed="false">
      <c r="A446" s="21"/>
      <c r="B446" s="22"/>
      <c r="C446" s="22"/>
      <c r="D446" s="23"/>
      <c r="E446" s="20" t="str">
        <f aca="false">IF($A446="","",IF($C446="Borç",-$D446,$D446))</f>
        <v/>
      </c>
      <c r="F446" s="18" t="str">
        <f aca="false">IF($A446="","",IFERROR(IF(INDEX(tblOrtak[Ortak Adı],ROW($A446)-ROW(tblOrtak[[#Headers],[Tarih]])-1)=$B446,INDEX(tblOrtak[Bakiye (₺)],ROW($A446)-ROW(tblOrtak[[#Headers],[Tarih]])-1)+$E446,$E446),$E446))</f>
        <v/>
      </c>
      <c r="G446" s="19" t="str">
        <f aca="false">IF($A446="","",IFERROR(IF(INDEX(tblOrtak[Tarih],ROW($A446)-ROW(tblOrtak[[#Headers],[Tarih]])+1)=0,RaporTarihi,INDEX(tblOrtak[Tarih],ROW($A446)-ROW(tblOrtak[[#Headers],[Tarih]])+1))-$A446,RaporTarihi-$A446))</f>
        <v/>
      </c>
      <c r="H446" s="18" t="n">
        <f aca="false">IF($F446="",0,ROUND($F446*$G446,0))</f>
        <v>0</v>
      </c>
      <c r="I446" s="18" t="n">
        <f aca="false">IF($H446="",0,ROUND($H446*AdatFaizOran/AdatYilGunSayisi,2))</f>
        <v>0</v>
      </c>
      <c r="J446" s="22"/>
    </row>
    <row r="447" customFormat="false" ht="15" hidden="false" customHeight="false" outlineLevel="0" collapsed="false">
      <c r="A447" s="21"/>
      <c r="B447" s="22"/>
      <c r="C447" s="22"/>
      <c r="D447" s="23"/>
      <c r="E447" s="20" t="str">
        <f aca="false">IF($A447="","",IF($C447="Borç",-$D447,$D447))</f>
        <v/>
      </c>
      <c r="F447" s="18" t="str">
        <f aca="false">IF($A447="","",IFERROR(IF(INDEX(tblOrtak[Ortak Adı],ROW($A447)-ROW(tblOrtak[[#Headers],[Tarih]])-1)=$B447,INDEX(tblOrtak[Bakiye (₺)],ROW($A447)-ROW(tblOrtak[[#Headers],[Tarih]])-1)+$E447,$E447),$E447))</f>
        <v/>
      </c>
      <c r="G447" s="19" t="str">
        <f aca="false">IF($A447="","",IFERROR(IF(INDEX(tblOrtak[Tarih],ROW($A447)-ROW(tblOrtak[[#Headers],[Tarih]])+1)=0,RaporTarihi,INDEX(tblOrtak[Tarih],ROW($A447)-ROW(tblOrtak[[#Headers],[Tarih]])+1))-$A447,RaporTarihi-$A447))</f>
        <v/>
      </c>
      <c r="H447" s="18" t="n">
        <f aca="false">IF($F447="",0,ROUND($F447*$G447,0))</f>
        <v>0</v>
      </c>
      <c r="I447" s="18" t="n">
        <f aca="false">IF($H447="",0,ROUND($H447*AdatFaizOran/AdatYilGunSayisi,2))</f>
        <v>0</v>
      </c>
      <c r="J447" s="22"/>
    </row>
    <row r="448" customFormat="false" ht="15" hidden="false" customHeight="false" outlineLevel="0" collapsed="false">
      <c r="A448" s="21"/>
      <c r="B448" s="22"/>
      <c r="C448" s="22"/>
      <c r="D448" s="23"/>
      <c r="E448" s="20" t="str">
        <f aca="false">IF($A448="","",IF($C448="Borç",-$D448,$D448))</f>
        <v/>
      </c>
      <c r="F448" s="18" t="str">
        <f aca="false">IF($A448="","",IFERROR(IF(INDEX(tblOrtak[Ortak Adı],ROW($A448)-ROW(tblOrtak[[#Headers],[Tarih]])-1)=$B448,INDEX(tblOrtak[Bakiye (₺)],ROW($A448)-ROW(tblOrtak[[#Headers],[Tarih]])-1)+$E448,$E448),$E448))</f>
        <v/>
      </c>
      <c r="G448" s="19" t="str">
        <f aca="false">IF($A448="","",IFERROR(IF(INDEX(tblOrtak[Tarih],ROW($A448)-ROW(tblOrtak[[#Headers],[Tarih]])+1)=0,RaporTarihi,INDEX(tblOrtak[Tarih],ROW($A448)-ROW(tblOrtak[[#Headers],[Tarih]])+1))-$A448,RaporTarihi-$A448))</f>
        <v/>
      </c>
      <c r="H448" s="18" t="n">
        <f aca="false">IF($F448="",0,ROUND($F448*$G448,0))</f>
        <v>0</v>
      </c>
      <c r="I448" s="18" t="n">
        <f aca="false">IF($H448="",0,ROUND($H448*AdatFaizOran/AdatYilGunSayisi,2))</f>
        <v>0</v>
      </c>
      <c r="J448" s="22"/>
    </row>
    <row r="449" customFormat="false" ht="15" hidden="false" customHeight="false" outlineLevel="0" collapsed="false">
      <c r="A449" s="21"/>
      <c r="B449" s="22"/>
      <c r="C449" s="22"/>
      <c r="D449" s="23"/>
      <c r="E449" s="20" t="str">
        <f aca="false">IF($A449="","",IF($C449="Borç",-$D449,$D449))</f>
        <v/>
      </c>
      <c r="F449" s="18" t="str">
        <f aca="false">IF($A449="","",IFERROR(IF(INDEX(tblOrtak[Ortak Adı],ROW($A449)-ROW(tblOrtak[[#Headers],[Tarih]])-1)=$B449,INDEX(tblOrtak[Bakiye (₺)],ROW($A449)-ROW(tblOrtak[[#Headers],[Tarih]])-1)+$E449,$E449),$E449))</f>
        <v/>
      </c>
      <c r="G449" s="19" t="str">
        <f aca="false">IF($A449="","",IFERROR(IF(INDEX(tblOrtak[Tarih],ROW($A449)-ROW(tblOrtak[[#Headers],[Tarih]])+1)=0,RaporTarihi,INDEX(tblOrtak[Tarih],ROW($A449)-ROW(tblOrtak[[#Headers],[Tarih]])+1))-$A449,RaporTarihi-$A449))</f>
        <v/>
      </c>
      <c r="H449" s="18" t="n">
        <f aca="false">IF($F449="",0,ROUND($F449*$G449,0))</f>
        <v>0</v>
      </c>
      <c r="I449" s="18" t="n">
        <f aca="false">IF($H449="",0,ROUND($H449*AdatFaizOran/AdatYilGunSayisi,2))</f>
        <v>0</v>
      </c>
      <c r="J449" s="22"/>
    </row>
    <row r="450" customFormat="false" ht="15" hidden="false" customHeight="false" outlineLevel="0" collapsed="false">
      <c r="A450" s="21"/>
      <c r="B450" s="22"/>
      <c r="C450" s="22"/>
      <c r="D450" s="23"/>
      <c r="E450" s="20" t="str">
        <f aca="false">IF($A450="","",IF($C450="Borç",-$D450,$D450))</f>
        <v/>
      </c>
      <c r="F450" s="18" t="str">
        <f aca="false">IF($A450="","",IFERROR(IF(INDEX(tblOrtak[Ortak Adı],ROW($A450)-ROW(tblOrtak[[#Headers],[Tarih]])-1)=$B450,INDEX(tblOrtak[Bakiye (₺)],ROW($A450)-ROW(tblOrtak[[#Headers],[Tarih]])-1)+$E450,$E450),$E450))</f>
        <v/>
      </c>
      <c r="G450" s="19" t="str">
        <f aca="false">IF($A450="","",IFERROR(IF(INDEX(tblOrtak[Tarih],ROW($A450)-ROW(tblOrtak[[#Headers],[Tarih]])+1)=0,RaporTarihi,INDEX(tblOrtak[Tarih],ROW($A450)-ROW(tblOrtak[[#Headers],[Tarih]])+1))-$A450,RaporTarihi-$A450))</f>
        <v/>
      </c>
      <c r="H450" s="18" t="n">
        <f aca="false">IF($F450="",0,ROUND($F450*$G450,0))</f>
        <v>0</v>
      </c>
      <c r="I450" s="18" t="n">
        <f aca="false">IF($H450="",0,ROUND($H450*AdatFaizOran/AdatYilGunSayisi,2))</f>
        <v>0</v>
      </c>
      <c r="J450" s="22"/>
    </row>
    <row r="451" customFormat="false" ht="15" hidden="false" customHeight="false" outlineLevel="0" collapsed="false">
      <c r="A451" s="21"/>
      <c r="B451" s="22"/>
      <c r="C451" s="22"/>
      <c r="D451" s="23"/>
      <c r="E451" s="20" t="str">
        <f aca="false">IF($A451="","",IF($C451="Borç",-$D451,$D451))</f>
        <v/>
      </c>
      <c r="F451" s="18" t="str">
        <f aca="false">IF($A451="","",IFERROR(IF(INDEX(tblOrtak[Ortak Adı],ROW($A451)-ROW(tblOrtak[[#Headers],[Tarih]])-1)=$B451,INDEX(tblOrtak[Bakiye (₺)],ROW($A451)-ROW(tblOrtak[[#Headers],[Tarih]])-1)+$E451,$E451),$E451))</f>
        <v/>
      </c>
      <c r="G451" s="19" t="str">
        <f aca="false">IF($A451="","",IFERROR(IF(INDEX(tblOrtak[Tarih],ROW($A451)-ROW(tblOrtak[[#Headers],[Tarih]])+1)=0,RaporTarihi,INDEX(tblOrtak[Tarih],ROW($A451)-ROW(tblOrtak[[#Headers],[Tarih]])+1))-$A451,RaporTarihi-$A451))</f>
        <v/>
      </c>
      <c r="H451" s="18" t="n">
        <f aca="false">IF($F451="",0,ROUND($F451*$G451,0))</f>
        <v>0</v>
      </c>
      <c r="I451" s="18" t="n">
        <f aca="false">IF($H451="",0,ROUND($H451*AdatFaizOran/AdatYilGunSayisi,2))</f>
        <v>0</v>
      </c>
      <c r="J451" s="22"/>
    </row>
    <row r="452" customFormat="false" ht="15" hidden="false" customHeight="false" outlineLevel="0" collapsed="false">
      <c r="A452" s="21"/>
      <c r="B452" s="22"/>
      <c r="C452" s="22"/>
      <c r="D452" s="23"/>
      <c r="E452" s="20" t="str">
        <f aca="false">IF($A452="","",IF($C452="Borç",-$D452,$D452))</f>
        <v/>
      </c>
      <c r="F452" s="18" t="str">
        <f aca="false">IF($A452="","",IFERROR(IF(INDEX(tblOrtak[Ortak Adı],ROW($A452)-ROW(tblOrtak[[#Headers],[Tarih]])-1)=$B452,INDEX(tblOrtak[Bakiye (₺)],ROW($A452)-ROW(tblOrtak[[#Headers],[Tarih]])-1)+$E452,$E452),$E452))</f>
        <v/>
      </c>
      <c r="G452" s="19" t="str">
        <f aca="false">IF($A452="","",IFERROR(IF(INDEX(tblOrtak[Tarih],ROW($A452)-ROW(tblOrtak[[#Headers],[Tarih]])+1)=0,RaporTarihi,INDEX(tblOrtak[Tarih],ROW($A452)-ROW(tblOrtak[[#Headers],[Tarih]])+1))-$A452,RaporTarihi-$A452))</f>
        <v/>
      </c>
      <c r="H452" s="18" t="n">
        <f aca="false">IF($F452="",0,ROUND($F452*$G452,0))</f>
        <v>0</v>
      </c>
      <c r="I452" s="18" t="n">
        <f aca="false">IF($H452="",0,ROUND($H452*AdatFaizOran/AdatYilGunSayisi,2))</f>
        <v>0</v>
      </c>
      <c r="J452" s="22"/>
    </row>
    <row r="453" customFormat="false" ht="15" hidden="false" customHeight="false" outlineLevel="0" collapsed="false">
      <c r="A453" s="21"/>
      <c r="B453" s="22"/>
      <c r="C453" s="22"/>
      <c r="D453" s="23"/>
      <c r="E453" s="20" t="str">
        <f aca="false">IF($A453="","",IF($C453="Borç",-$D453,$D453))</f>
        <v/>
      </c>
      <c r="F453" s="18" t="str">
        <f aca="false">IF($A453="","",IFERROR(IF(INDEX(tblOrtak[Ortak Adı],ROW($A453)-ROW(tblOrtak[[#Headers],[Tarih]])-1)=$B453,INDEX(tblOrtak[Bakiye (₺)],ROW($A453)-ROW(tblOrtak[[#Headers],[Tarih]])-1)+$E453,$E453),$E453))</f>
        <v/>
      </c>
      <c r="G453" s="19" t="str">
        <f aca="false">IF($A453="","",IFERROR(IF(INDEX(tblOrtak[Tarih],ROW($A453)-ROW(tblOrtak[[#Headers],[Tarih]])+1)=0,RaporTarihi,INDEX(tblOrtak[Tarih],ROW($A453)-ROW(tblOrtak[[#Headers],[Tarih]])+1))-$A453,RaporTarihi-$A453))</f>
        <v/>
      </c>
      <c r="H453" s="18" t="n">
        <f aca="false">IF($F453="",0,ROUND($F453*$G453,0))</f>
        <v>0</v>
      </c>
      <c r="I453" s="18" t="n">
        <f aca="false">IF($H453="",0,ROUND($H453*AdatFaizOran/AdatYilGunSayisi,2))</f>
        <v>0</v>
      </c>
      <c r="J453" s="22"/>
    </row>
    <row r="454" customFormat="false" ht="15" hidden="false" customHeight="false" outlineLevel="0" collapsed="false">
      <c r="A454" s="21"/>
      <c r="B454" s="22"/>
      <c r="C454" s="22"/>
      <c r="D454" s="23"/>
      <c r="E454" s="20" t="str">
        <f aca="false">IF($A454="","",IF($C454="Borç",-$D454,$D454))</f>
        <v/>
      </c>
      <c r="F454" s="18" t="str">
        <f aca="false">IF($A454="","",IFERROR(IF(INDEX(tblOrtak[Ortak Adı],ROW($A454)-ROW(tblOrtak[[#Headers],[Tarih]])-1)=$B454,INDEX(tblOrtak[Bakiye (₺)],ROW($A454)-ROW(tblOrtak[[#Headers],[Tarih]])-1)+$E454,$E454),$E454))</f>
        <v/>
      </c>
      <c r="G454" s="19" t="str">
        <f aca="false">IF($A454="","",IFERROR(IF(INDEX(tblOrtak[Tarih],ROW($A454)-ROW(tblOrtak[[#Headers],[Tarih]])+1)=0,RaporTarihi,INDEX(tblOrtak[Tarih],ROW($A454)-ROW(tblOrtak[[#Headers],[Tarih]])+1))-$A454,RaporTarihi-$A454))</f>
        <v/>
      </c>
      <c r="H454" s="18" t="n">
        <f aca="false">IF($F454="",0,ROUND($F454*$G454,0))</f>
        <v>0</v>
      </c>
      <c r="I454" s="18" t="n">
        <f aca="false">IF($H454="",0,ROUND($H454*AdatFaizOran/AdatYilGunSayisi,2))</f>
        <v>0</v>
      </c>
      <c r="J454" s="22"/>
    </row>
    <row r="455" customFormat="false" ht="15" hidden="false" customHeight="false" outlineLevel="0" collapsed="false">
      <c r="A455" s="21"/>
      <c r="B455" s="22"/>
      <c r="C455" s="22"/>
      <c r="D455" s="23"/>
      <c r="E455" s="20" t="str">
        <f aca="false">IF($A455="","",IF($C455="Borç",-$D455,$D455))</f>
        <v/>
      </c>
      <c r="F455" s="18" t="str">
        <f aca="false">IF($A455="","",IFERROR(IF(INDEX(tblOrtak[Ortak Adı],ROW($A455)-ROW(tblOrtak[[#Headers],[Tarih]])-1)=$B455,INDEX(tblOrtak[Bakiye (₺)],ROW($A455)-ROW(tblOrtak[[#Headers],[Tarih]])-1)+$E455,$E455),$E455))</f>
        <v/>
      </c>
      <c r="G455" s="19" t="str">
        <f aca="false">IF($A455="","",IFERROR(IF(INDEX(tblOrtak[Tarih],ROW($A455)-ROW(tblOrtak[[#Headers],[Tarih]])+1)=0,RaporTarihi,INDEX(tblOrtak[Tarih],ROW($A455)-ROW(tblOrtak[[#Headers],[Tarih]])+1))-$A455,RaporTarihi-$A455))</f>
        <v/>
      </c>
      <c r="H455" s="18" t="n">
        <f aca="false">IF($F455="",0,ROUND($F455*$G455,0))</f>
        <v>0</v>
      </c>
      <c r="I455" s="18" t="n">
        <f aca="false">IF($H455="",0,ROUND($H455*AdatFaizOran/AdatYilGunSayisi,2))</f>
        <v>0</v>
      </c>
      <c r="J455" s="22"/>
    </row>
    <row r="456" customFormat="false" ht="15" hidden="false" customHeight="false" outlineLevel="0" collapsed="false">
      <c r="A456" s="21"/>
      <c r="B456" s="22"/>
      <c r="C456" s="22"/>
      <c r="D456" s="23"/>
      <c r="E456" s="20" t="str">
        <f aca="false">IF($A456="","",IF($C456="Borç",-$D456,$D456))</f>
        <v/>
      </c>
      <c r="F456" s="18" t="str">
        <f aca="false">IF($A456="","",IFERROR(IF(INDEX(tblOrtak[Ortak Adı],ROW($A456)-ROW(tblOrtak[[#Headers],[Tarih]])-1)=$B456,INDEX(tblOrtak[Bakiye (₺)],ROW($A456)-ROW(tblOrtak[[#Headers],[Tarih]])-1)+$E456,$E456),$E456))</f>
        <v/>
      </c>
      <c r="G456" s="19" t="str">
        <f aca="false">IF($A456="","",IFERROR(IF(INDEX(tblOrtak[Tarih],ROW($A456)-ROW(tblOrtak[[#Headers],[Tarih]])+1)=0,RaporTarihi,INDEX(tblOrtak[Tarih],ROW($A456)-ROW(tblOrtak[[#Headers],[Tarih]])+1))-$A456,RaporTarihi-$A456))</f>
        <v/>
      </c>
      <c r="H456" s="18" t="n">
        <f aca="false">IF($F456="",0,ROUND($F456*$G456,0))</f>
        <v>0</v>
      </c>
      <c r="I456" s="18" t="n">
        <f aca="false">IF($H456="",0,ROUND($H456*AdatFaizOran/AdatYilGunSayisi,2))</f>
        <v>0</v>
      </c>
      <c r="J456" s="22"/>
    </row>
    <row r="457" customFormat="false" ht="15" hidden="false" customHeight="false" outlineLevel="0" collapsed="false">
      <c r="A457" s="21"/>
      <c r="B457" s="22"/>
      <c r="C457" s="22"/>
      <c r="D457" s="23"/>
      <c r="E457" s="20" t="str">
        <f aca="false">IF($A457="","",IF($C457="Borç",-$D457,$D457))</f>
        <v/>
      </c>
      <c r="F457" s="18" t="str">
        <f aca="false">IF($A457="","",IFERROR(IF(INDEX(tblOrtak[Ortak Adı],ROW($A457)-ROW(tblOrtak[[#Headers],[Tarih]])-1)=$B457,INDEX(tblOrtak[Bakiye (₺)],ROW($A457)-ROW(tblOrtak[[#Headers],[Tarih]])-1)+$E457,$E457),$E457))</f>
        <v/>
      </c>
      <c r="G457" s="19" t="str">
        <f aca="false">IF($A457="","",IFERROR(IF(INDEX(tblOrtak[Tarih],ROW($A457)-ROW(tblOrtak[[#Headers],[Tarih]])+1)=0,RaporTarihi,INDEX(tblOrtak[Tarih],ROW($A457)-ROW(tblOrtak[[#Headers],[Tarih]])+1))-$A457,RaporTarihi-$A457))</f>
        <v/>
      </c>
      <c r="H457" s="18" t="n">
        <f aca="false">IF($F457="",0,ROUND($F457*$G457,0))</f>
        <v>0</v>
      </c>
      <c r="I457" s="18" t="n">
        <f aca="false">IF($H457="",0,ROUND($H457*AdatFaizOran/AdatYilGunSayisi,2))</f>
        <v>0</v>
      </c>
      <c r="J457" s="22"/>
    </row>
    <row r="458" customFormat="false" ht="15" hidden="false" customHeight="false" outlineLevel="0" collapsed="false">
      <c r="A458" s="21"/>
      <c r="B458" s="22"/>
      <c r="C458" s="22"/>
      <c r="D458" s="23"/>
      <c r="E458" s="20" t="str">
        <f aca="false">IF($A458="","",IF($C458="Borç",-$D458,$D458))</f>
        <v/>
      </c>
      <c r="F458" s="18" t="str">
        <f aca="false">IF($A458="","",IFERROR(IF(INDEX(tblOrtak[Ortak Adı],ROW($A458)-ROW(tblOrtak[[#Headers],[Tarih]])-1)=$B458,INDEX(tblOrtak[Bakiye (₺)],ROW($A458)-ROW(tblOrtak[[#Headers],[Tarih]])-1)+$E458,$E458),$E458))</f>
        <v/>
      </c>
      <c r="G458" s="19" t="str">
        <f aca="false">IF($A458="","",IFERROR(IF(INDEX(tblOrtak[Tarih],ROW($A458)-ROW(tblOrtak[[#Headers],[Tarih]])+1)=0,RaporTarihi,INDEX(tblOrtak[Tarih],ROW($A458)-ROW(tblOrtak[[#Headers],[Tarih]])+1))-$A458,RaporTarihi-$A458))</f>
        <v/>
      </c>
      <c r="H458" s="18" t="n">
        <f aca="false">IF($F458="",0,ROUND($F458*$G458,0))</f>
        <v>0</v>
      </c>
      <c r="I458" s="18" t="n">
        <f aca="false">IF($H458="",0,ROUND($H458*AdatFaizOran/AdatYilGunSayisi,2))</f>
        <v>0</v>
      </c>
      <c r="J458" s="22"/>
    </row>
    <row r="459" customFormat="false" ht="15" hidden="false" customHeight="false" outlineLevel="0" collapsed="false">
      <c r="A459" s="21"/>
      <c r="B459" s="22"/>
      <c r="C459" s="22"/>
      <c r="D459" s="23"/>
      <c r="E459" s="20" t="str">
        <f aca="false">IF($A459="","",IF($C459="Borç",-$D459,$D459))</f>
        <v/>
      </c>
      <c r="F459" s="18" t="str">
        <f aca="false">IF($A459="","",IFERROR(IF(INDEX(tblOrtak[Ortak Adı],ROW($A459)-ROW(tblOrtak[[#Headers],[Tarih]])-1)=$B459,INDEX(tblOrtak[Bakiye (₺)],ROW($A459)-ROW(tblOrtak[[#Headers],[Tarih]])-1)+$E459,$E459),$E459))</f>
        <v/>
      </c>
      <c r="G459" s="19" t="str">
        <f aca="false">IF($A459="","",IFERROR(IF(INDEX(tblOrtak[Tarih],ROW($A459)-ROW(tblOrtak[[#Headers],[Tarih]])+1)=0,RaporTarihi,INDEX(tblOrtak[Tarih],ROW($A459)-ROW(tblOrtak[[#Headers],[Tarih]])+1))-$A459,RaporTarihi-$A459))</f>
        <v/>
      </c>
      <c r="H459" s="18" t="n">
        <f aca="false">IF($F459="",0,ROUND($F459*$G459,0))</f>
        <v>0</v>
      </c>
      <c r="I459" s="18" t="n">
        <f aca="false">IF($H459="",0,ROUND($H459*AdatFaizOran/AdatYilGunSayisi,2))</f>
        <v>0</v>
      </c>
      <c r="J459" s="22"/>
    </row>
    <row r="460" customFormat="false" ht="15" hidden="false" customHeight="false" outlineLevel="0" collapsed="false">
      <c r="A460" s="21"/>
      <c r="B460" s="22"/>
      <c r="C460" s="22"/>
      <c r="D460" s="23"/>
      <c r="E460" s="20" t="str">
        <f aca="false">IF($A460="","",IF($C460="Borç",-$D460,$D460))</f>
        <v/>
      </c>
      <c r="F460" s="18" t="str">
        <f aca="false">IF($A460="","",IFERROR(IF(INDEX(tblOrtak[Ortak Adı],ROW($A460)-ROW(tblOrtak[[#Headers],[Tarih]])-1)=$B460,INDEX(tblOrtak[Bakiye (₺)],ROW($A460)-ROW(tblOrtak[[#Headers],[Tarih]])-1)+$E460,$E460),$E460))</f>
        <v/>
      </c>
      <c r="G460" s="19" t="str">
        <f aca="false">IF($A460="","",IFERROR(IF(INDEX(tblOrtak[Tarih],ROW($A460)-ROW(tblOrtak[[#Headers],[Tarih]])+1)=0,RaporTarihi,INDEX(tblOrtak[Tarih],ROW($A460)-ROW(tblOrtak[[#Headers],[Tarih]])+1))-$A460,RaporTarihi-$A460))</f>
        <v/>
      </c>
      <c r="H460" s="18" t="n">
        <f aca="false">IF($F460="",0,ROUND($F460*$G460,0))</f>
        <v>0</v>
      </c>
      <c r="I460" s="18" t="n">
        <f aca="false">IF($H460="",0,ROUND($H460*AdatFaizOran/AdatYilGunSayisi,2))</f>
        <v>0</v>
      </c>
      <c r="J460" s="22"/>
    </row>
    <row r="461" customFormat="false" ht="15" hidden="false" customHeight="false" outlineLevel="0" collapsed="false">
      <c r="A461" s="21"/>
      <c r="B461" s="22"/>
      <c r="C461" s="22"/>
      <c r="D461" s="23"/>
      <c r="E461" s="20" t="str">
        <f aca="false">IF($A461="","",IF($C461="Borç",-$D461,$D461))</f>
        <v/>
      </c>
      <c r="F461" s="18" t="str">
        <f aca="false">IF($A461="","",IFERROR(IF(INDEX(tblOrtak[Ortak Adı],ROW($A461)-ROW(tblOrtak[[#Headers],[Tarih]])-1)=$B461,INDEX(tblOrtak[Bakiye (₺)],ROW($A461)-ROW(tblOrtak[[#Headers],[Tarih]])-1)+$E461,$E461),$E461))</f>
        <v/>
      </c>
      <c r="G461" s="19" t="str">
        <f aca="false">IF($A461="","",IFERROR(IF(INDEX(tblOrtak[Tarih],ROW($A461)-ROW(tblOrtak[[#Headers],[Tarih]])+1)=0,RaporTarihi,INDEX(tblOrtak[Tarih],ROW($A461)-ROW(tblOrtak[[#Headers],[Tarih]])+1))-$A461,RaporTarihi-$A461))</f>
        <v/>
      </c>
      <c r="H461" s="18" t="n">
        <f aca="false">IF($F461="",0,ROUND($F461*$G461,0))</f>
        <v>0</v>
      </c>
      <c r="I461" s="18" t="n">
        <f aca="false">IF($H461="",0,ROUND($H461*AdatFaizOran/AdatYilGunSayisi,2))</f>
        <v>0</v>
      </c>
      <c r="J461" s="22"/>
    </row>
    <row r="462" customFormat="false" ht="15" hidden="false" customHeight="false" outlineLevel="0" collapsed="false">
      <c r="A462" s="21"/>
      <c r="B462" s="22"/>
      <c r="C462" s="22"/>
      <c r="D462" s="23"/>
      <c r="E462" s="20" t="str">
        <f aca="false">IF($A462="","",IF($C462="Borç",-$D462,$D462))</f>
        <v/>
      </c>
      <c r="F462" s="18" t="str">
        <f aca="false">IF($A462="","",IFERROR(IF(INDEX(tblOrtak[Ortak Adı],ROW($A462)-ROW(tblOrtak[[#Headers],[Tarih]])-1)=$B462,INDEX(tblOrtak[Bakiye (₺)],ROW($A462)-ROW(tblOrtak[[#Headers],[Tarih]])-1)+$E462,$E462),$E462))</f>
        <v/>
      </c>
      <c r="G462" s="19" t="str">
        <f aca="false">IF($A462="","",IFERROR(IF(INDEX(tblOrtak[Tarih],ROW($A462)-ROW(tblOrtak[[#Headers],[Tarih]])+1)=0,RaporTarihi,INDEX(tblOrtak[Tarih],ROW($A462)-ROW(tblOrtak[[#Headers],[Tarih]])+1))-$A462,RaporTarihi-$A462))</f>
        <v/>
      </c>
      <c r="H462" s="18" t="n">
        <f aca="false">IF($F462="",0,ROUND($F462*$G462,0))</f>
        <v>0</v>
      </c>
      <c r="I462" s="18" t="n">
        <f aca="false">IF($H462="",0,ROUND($H462*AdatFaizOran/AdatYilGunSayisi,2))</f>
        <v>0</v>
      </c>
      <c r="J462" s="22"/>
    </row>
    <row r="463" customFormat="false" ht="15" hidden="false" customHeight="false" outlineLevel="0" collapsed="false">
      <c r="A463" s="21"/>
      <c r="B463" s="22"/>
      <c r="C463" s="22"/>
      <c r="D463" s="23"/>
      <c r="E463" s="20" t="str">
        <f aca="false">IF($A463="","",IF($C463="Borç",-$D463,$D463))</f>
        <v/>
      </c>
      <c r="F463" s="18" t="str">
        <f aca="false">IF($A463="","",IFERROR(IF(INDEX(tblOrtak[Ortak Adı],ROW($A463)-ROW(tblOrtak[[#Headers],[Tarih]])-1)=$B463,INDEX(tblOrtak[Bakiye (₺)],ROW($A463)-ROW(tblOrtak[[#Headers],[Tarih]])-1)+$E463,$E463),$E463))</f>
        <v/>
      </c>
      <c r="G463" s="19" t="str">
        <f aca="false">IF($A463="","",IFERROR(IF(INDEX(tblOrtak[Tarih],ROW($A463)-ROW(tblOrtak[[#Headers],[Tarih]])+1)=0,RaporTarihi,INDEX(tblOrtak[Tarih],ROW($A463)-ROW(tblOrtak[[#Headers],[Tarih]])+1))-$A463,RaporTarihi-$A463))</f>
        <v/>
      </c>
      <c r="H463" s="18" t="n">
        <f aca="false">IF($F463="",0,ROUND($F463*$G463,0))</f>
        <v>0</v>
      </c>
      <c r="I463" s="18" t="n">
        <f aca="false">IF($H463="",0,ROUND($H463*AdatFaizOran/AdatYilGunSayisi,2))</f>
        <v>0</v>
      </c>
      <c r="J463" s="22"/>
    </row>
    <row r="464" customFormat="false" ht="15" hidden="false" customHeight="false" outlineLevel="0" collapsed="false">
      <c r="A464" s="21"/>
      <c r="B464" s="22"/>
      <c r="C464" s="22"/>
      <c r="D464" s="23"/>
      <c r="E464" s="20" t="str">
        <f aca="false">IF($A464="","",IF($C464="Borç",-$D464,$D464))</f>
        <v/>
      </c>
      <c r="F464" s="18" t="str">
        <f aca="false">IF($A464="","",IFERROR(IF(INDEX(tblOrtak[Ortak Adı],ROW($A464)-ROW(tblOrtak[[#Headers],[Tarih]])-1)=$B464,INDEX(tblOrtak[Bakiye (₺)],ROW($A464)-ROW(tblOrtak[[#Headers],[Tarih]])-1)+$E464,$E464),$E464))</f>
        <v/>
      </c>
      <c r="G464" s="19" t="str">
        <f aca="false">IF($A464="","",IFERROR(IF(INDEX(tblOrtak[Tarih],ROW($A464)-ROW(tblOrtak[[#Headers],[Tarih]])+1)=0,RaporTarihi,INDEX(tblOrtak[Tarih],ROW($A464)-ROW(tblOrtak[[#Headers],[Tarih]])+1))-$A464,RaporTarihi-$A464))</f>
        <v/>
      </c>
      <c r="H464" s="18" t="n">
        <f aca="false">IF($F464="",0,ROUND($F464*$G464,0))</f>
        <v>0</v>
      </c>
      <c r="I464" s="18" t="n">
        <f aca="false">IF($H464="",0,ROUND($H464*AdatFaizOran/AdatYilGunSayisi,2))</f>
        <v>0</v>
      </c>
      <c r="J464" s="22"/>
    </row>
    <row r="465" customFormat="false" ht="15" hidden="false" customHeight="false" outlineLevel="0" collapsed="false">
      <c r="A465" s="21"/>
      <c r="B465" s="22"/>
      <c r="C465" s="22"/>
      <c r="D465" s="23"/>
      <c r="E465" s="20" t="str">
        <f aca="false">IF($A465="","",IF($C465="Borç",-$D465,$D465))</f>
        <v/>
      </c>
      <c r="F465" s="18" t="str">
        <f aca="false">IF($A465="","",IFERROR(IF(INDEX(tblOrtak[Ortak Adı],ROW($A465)-ROW(tblOrtak[[#Headers],[Tarih]])-1)=$B465,INDEX(tblOrtak[Bakiye (₺)],ROW($A465)-ROW(tblOrtak[[#Headers],[Tarih]])-1)+$E465,$E465),$E465))</f>
        <v/>
      </c>
      <c r="G465" s="19" t="str">
        <f aca="false">IF($A465="","",IFERROR(IF(INDEX(tblOrtak[Tarih],ROW($A465)-ROW(tblOrtak[[#Headers],[Tarih]])+1)=0,RaporTarihi,INDEX(tblOrtak[Tarih],ROW($A465)-ROW(tblOrtak[[#Headers],[Tarih]])+1))-$A465,RaporTarihi-$A465))</f>
        <v/>
      </c>
      <c r="H465" s="18" t="n">
        <f aca="false">IF($F465="",0,ROUND($F465*$G465,0))</f>
        <v>0</v>
      </c>
      <c r="I465" s="18" t="n">
        <f aca="false">IF($H465="",0,ROUND($H465*AdatFaizOran/AdatYilGunSayisi,2))</f>
        <v>0</v>
      </c>
      <c r="J465" s="22"/>
    </row>
    <row r="466" customFormat="false" ht="15" hidden="false" customHeight="false" outlineLevel="0" collapsed="false">
      <c r="A466" s="21"/>
      <c r="B466" s="22"/>
      <c r="C466" s="22"/>
      <c r="D466" s="23"/>
      <c r="E466" s="20" t="str">
        <f aca="false">IF($A466="","",IF($C466="Borç",-$D466,$D466))</f>
        <v/>
      </c>
      <c r="F466" s="18" t="str">
        <f aca="false">IF($A466="","",IFERROR(IF(INDEX(tblOrtak[Ortak Adı],ROW($A466)-ROW(tblOrtak[[#Headers],[Tarih]])-1)=$B466,INDEX(tblOrtak[Bakiye (₺)],ROW($A466)-ROW(tblOrtak[[#Headers],[Tarih]])-1)+$E466,$E466),$E466))</f>
        <v/>
      </c>
      <c r="G466" s="19" t="str">
        <f aca="false">IF($A466="","",IFERROR(IF(INDEX(tblOrtak[Tarih],ROW($A466)-ROW(tblOrtak[[#Headers],[Tarih]])+1)=0,RaporTarihi,INDEX(tblOrtak[Tarih],ROW($A466)-ROW(tblOrtak[[#Headers],[Tarih]])+1))-$A466,RaporTarihi-$A466))</f>
        <v/>
      </c>
      <c r="H466" s="18" t="n">
        <f aca="false">IF($F466="",0,ROUND($F466*$G466,0))</f>
        <v>0</v>
      </c>
      <c r="I466" s="18" t="n">
        <f aca="false">IF($H466="",0,ROUND($H466*AdatFaizOran/AdatYilGunSayisi,2))</f>
        <v>0</v>
      </c>
      <c r="J466" s="22"/>
    </row>
    <row r="467" customFormat="false" ht="15" hidden="false" customHeight="false" outlineLevel="0" collapsed="false">
      <c r="A467" s="21"/>
      <c r="B467" s="22"/>
      <c r="C467" s="22"/>
      <c r="D467" s="23"/>
      <c r="E467" s="20" t="str">
        <f aca="false">IF($A467="","",IF($C467="Borç",-$D467,$D467))</f>
        <v/>
      </c>
      <c r="F467" s="18" t="str">
        <f aca="false">IF($A467="","",IFERROR(IF(INDEX(tblOrtak[Ortak Adı],ROW($A467)-ROW(tblOrtak[[#Headers],[Tarih]])-1)=$B467,INDEX(tblOrtak[Bakiye (₺)],ROW($A467)-ROW(tblOrtak[[#Headers],[Tarih]])-1)+$E467,$E467),$E467))</f>
        <v/>
      </c>
      <c r="G467" s="19" t="str">
        <f aca="false">IF($A467="","",IFERROR(IF(INDEX(tblOrtak[Tarih],ROW($A467)-ROW(tblOrtak[[#Headers],[Tarih]])+1)=0,RaporTarihi,INDEX(tblOrtak[Tarih],ROW($A467)-ROW(tblOrtak[[#Headers],[Tarih]])+1))-$A467,RaporTarihi-$A467))</f>
        <v/>
      </c>
      <c r="H467" s="18" t="n">
        <f aca="false">IF($F467="",0,ROUND($F467*$G467,0))</f>
        <v>0</v>
      </c>
      <c r="I467" s="18" t="n">
        <f aca="false">IF($H467="",0,ROUND($H467*AdatFaizOran/AdatYilGunSayisi,2))</f>
        <v>0</v>
      </c>
      <c r="J467" s="22"/>
    </row>
    <row r="468" customFormat="false" ht="15" hidden="false" customHeight="false" outlineLevel="0" collapsed="false">
      <c r="A468" s="21"/>
      <c r="B468" s="22"/>
      <c r="C468" s="22"/>
      <c r="D468" s="23"/>
      <c r="E468" s="20" t="str">
        <f aca="false">IF($A468="","",IF($C468="Borç",-$D468,$D468))</f>
        <v/>
      </c>
      <c r="F468" s="18" t="str">
        <f aca="false">IF($A468="","",IFERROR(IF(INDEX(tblOrtak[Ortak Adı],ROW($A468)-ROW(tblOrtak[[#Headers],[Tarih]])-1)=$B468,INDEX(tblOrtak[Bakiye (₺)],ROW($A468)-ROW(tblOrtak[[#Headers],[Tarih]])-1)+$E468,$E468),$E468))</f>
        <v/>
      </c>
      <c r="G468" s="19" t="str">
        <f aca="false">IF($A468="","",IFERROR(IF(INDEX(tblOrtak[Tarih],ROW($A468)-ROW(tblOrtak[[#Headers],[Tarih]])+1)=0,RaporTarihi,INDEX(tblOrtak[Tarih],ROW($A468)-ROW(tblOrtak[[#Headers],[Tarih]])+1))-$A468,RaporTarihi-$A468))</f>
        <v/>
      </c>
      <c r="H468" s="18" t="n">
        <f aca="false">IF($F468="",0,ROUND($F468*$G468,0))</f>
        <v>0</v>
      </c>
      <c r="I468" s="18" t="n">
        <f aca="false">IF($H468="",0,ROUND($H468*AdatFaizOran/AdatYilGunSayisi,2))</f>
        <v>0</v>
      </c>
      <c r="J468" s="22"/>
    </row>
    <row r="469" customFormat="false" ht="15" hidden="false" customHeight="false" outlineLevel="0" collapsed="false">
      <c r="A469" s="21"/>
      <c r="B469" s="22"/>
      <c r="C469" s="22"/>
      <c r="D469" s="23"/>
      <c r="E469" s="20" t="str">
        <f aca="false">IF($A469="","",IF($C469="Borç",-$D469,$D469))</f>
        <v/>
      </c>
      <c r="F469" s="18" t="str">
        <f aca="false">IF($A469="","",IFERROR(IF(INDEX(tblOrtak[Ortak Adı],ROW($A469)-ROW(tblOrtak[[#Headers],[Tarih]])-1)=$B469,INDEX(tblOrtak[Bakiye (₺)],ROW($A469)-ROW(tblOrtak[[#Headers],[Tarih]])-1)+$E469,$E469),$E469))</f>
        <v/>
      </c>
      <c r="G469" s="19" t="str">
        <f aca="false">IF($A469="","",IFERROR(IF(INDEX(tblOrtak[Tarih],ROW($A469)-ROW(tblOrtak[[#Headers],[Tarih]])+1)=0,RaporTarihi,INDEX(tblOrtak[Tarih],ROW($A469)-ROW(tblOrtak[[#Headers],[Tarih]])+1))-$A469,RaporTarihi-$A469))</f>
        <v/>
      </c>
      <c r="H469" s="18" t="n">
        <f aca="false">IF($F469="",0,ROUND($F469*$G469,0))</f>
        <v>0</v>
      </c>
      <c r="I469" s="18" t="n">
        <f aca="false">IF($H469="",0,ROUND($H469*AdatFaizOran/AdatYilGunSayisi,2))</f>
        <v>0</v>
      </c>
      <c r="J469" s="22"/>
    </row>
    <row r="470" customFormat="false" ht="15" hidden="false" customHeight="false" outlineLevel="0" collapsed="false">
      <c r="A470" s="21"/>
      <c r="B470" s="22"/>
      <c r="C470" s="22"/>
      <c r="D470" s="23"/>
      <c r="E470" s="20" t="str">
        <f aca="false">IF($A470="","",IF($C470="Borç",-$D470,$D470))</f>
        <v/>
      </c>
      <c r="F470" s="18" t="str">
        <f aca="false">IF($A470="","",IFERROR(IF(INDEX(tblOrtak[Ortak Adı],ROW($A470)-ROW(tblOrtak[[#Headers],[Tarih]])-1)=$B470,INDEX(tblOrtak[Bakiye (₺)],ROW($A470)-ROW(tblOrtak[[#Headers],[Tarih]])-1)+$E470,$E470),$E470))</f>
        <v/>
      </c>
      <c r="G470" s="19" t="str">
        <f aca="false">IF($A470="","",IFERROR(IF(INDEX(tblOrtak[Tarih],ROW($A470)-ROW(tblOrtak[[#Headers],[Tarih]])+1)=0,RaporTarihi,INDEX(tblOrtak[Tarih],ROW($A470)-ROW(tblOrtak[[#Headers],[Tarih]])+1))-$A470,RaporTarihi-$A470))</f>
        <v/>
      </c>
      <c r="H470" s="18" t="n">
        <f aca="false">IF($F470="",0,ROUND($F470*$G470,0))</f>
        <v>0</v>
      </c>
      <c r="I470" s="18" t="n">
        <f aca="false">IF($H470="",0,ROUND($H470*AdatFaizOran/AdatYilGunSayisi,2))</f>
        <v>0</v>
      </c>
      <c r="J470" s="22"/>
    </row>
    <row r="471" customFormat="false" ht="15" hidden="false" customHeight="false" outlineLevel="0" collapsed="false">
      <c r="A471" s="21"/>
      <c r="B471" s="22"/>
      <c r="C471" s="22"/>
      <c r="D471" s="23"/>
      <c r="E471" s="20" t="str">
        <f aca="false">IF($A471="","",IF($C471="Borç",-$D471,$D471))</f>
        <v/>
      </c>
      <c r="F471" s="18" t="str">
        <f aca="false">IF($A471="","",IFERROR(IF(INDEX(tblOrtak[Ortak Adı],ROW($A471)-ROW(tblOrtak[[#Headers],[Tarih]])-1)=$B471,INDEX(tblOrtak[Bakiye (₺)],ROW($A471)-ROW(tblOrtak[[#Headers],[Tarih]])-1)+$E471,$E471),$E471))</f>
        <v/>
      </c>
      <c r="G471" s="19" t="str">
        <f aca="false">IF($A471="","",IFERROR(IF(INDEX(tblOrtak[Tarih],ROW($A471)-ROW(tblOrtak[[#Headers],[Tarih]])+1)=0,RaporTarihi,INDEX(tblOrtak[Tarih],ROW($A471)-ROW(tblOrtak[[#Headers],[Tarih]])+1))-$A471,RaporTarihi-$A471))</f>
        <v/>
      </c>
      <c r="H471" s="18" t="n">
        <f aca="false">IF($F471="",0,ROUND($F471*$G471,0))</f>
        <v>0</v>
      </c>
      <c r="I471" s="18" t="n">
        <f aca="false">IF($H471="",0,ROUND($H471*AdatFaizOran/AdatYilGunSayisi,2))</f>
        <v>0</v>
      </c>
      <c r="J471" s="22"/>
    </row>
    <row r="472" customFormat="false" ht="15" hidden="false" customHeight="false" outlineLevel="0" collapsed="false">
      <c r="A472" s="21"/>
      <c r="B472" s="22"/>
      <c r="C472" s="22"/>
      <c r="D472" s="23"/>
      <c r="E472" s="20" t="str">
        <f aca="false">IF($A472="","",IF($C472="Borç",-$D472,$D472))</f>
        <v/>
      </c>
      <c r="F472" s="18" t="str">
        <f aca="false">IF($A472="","",IFERROR(IF(INDEX(tblOrtak[Ortak Adı],ROW($A472)-ROW(tblOrtak[[#Headers],[Tarih]])-1)=$B472,INDEX(tblOrtak[Bakiye (₺)],ROW($A472)-ROW(tblOrtak[[#Headers],[Tarih]])-1)+$E472,$E472),$E472))</f>
        <v/>
      </c>
      <c r="G472" s="19" t="str">
        <f aca="false">IF($A472="","",IFERROR(IF(INDEX(tblOrtak[Tarih],ROW($A472)-ROW(tblOrtak[[#Headers],[Tarih]])+1)=0,RaporTarihi,INDEX(tblOrtak[Tarih],ROW($A472)-ROW(tblOrtak[[#Headers],[Tarih]])+1))-$A472,RaporTarihi-$A472))</f>
        <v/>
      </c>
      <c r="H472" s="18" t="n">
        <f aca="false">IF($F472="",0,ROUND($F472*$G472,0))</f>
        <v>0</v>
      </c>
      <c r="I472" s="18" t="n">
        <f aca="false">IF($H472="",0,ROUND($H472*AdatFaizOran/AdatYilGunSayisi,2))</f>
        <v>0</v>
      </c>
      <c r="J472" s="22"/>
    </row>
    <row r="473" customFormat="false" ht="15" hidden="false" customHeight="false" outlineLevel="0" collapsed="false">
      <c r="A473" s="21"/>
      <c r="B473" s="22"/>
      <c r="C473" s="22"/>
      <c r="D473" s="23"/>
      <c r="E473" s="20" t="str">
        <f aca="false">IF($A473="","",IF($C473="Borç",-$D473,$D473))</f>
        <v/>
      </c>
      <c r="F473" s="18" t="str">
        <f aca="false">IF($A473="","",IFERROR(IF(INDEX(tblOrtak[Ortak Adı],ROW($A473)-ROW(tblOrtak[[#Headers],[Tarih]])-1)=$B473,INDEX(tblOrtak[Bakiye (₺)],ROW($A473)-ROW(tblOrtak[[#Headers],[Tarih]])-1)+$E473,$E473),$E473))</f>
        <v/>
      </c>
      <c r="G473" s="19" t="str">
        <f aca="false">IF($A473="","",IFERROR(IF(INDEX(tblOrtak[Tarih],ROW($A473)-ROW(tblOrtak[[#Headers],[Tarih]])+1)=0,RaporTarihi,INDEX(tblOrtak[Tarih],ROW($A473)-ROW(tblOrtak[[#Headers],[Tarih]])+1))-$A473,RaporTarihi-$A473))</f>
        <v/>
      </c>
      <c r="H473" s="18" t="n">
        <f aca="false">IF($F473="",0,ROUND($F473*$G473,0))</f>
        <v>0</v>
      </c>
      <c r="I473" s="18" t="n">
        <f aca="false">IF($H473="",0,ROUND($H473*AdatFaizOran/AdatYilGunSayisi,2))</f>
        <v>0</v>
      </c>
      <c r="J473" s="22"/>
    </row>
    <row r="474" customFormat="false" ht="15" hidden="false" customHeight="false" outlineLevel="0" collapsed="false">
      <c r="A474" s="21"/>
      <c r="B474" s="22"/>
      <c r="C474" s="22"/>
      <c r="D474" s="23"/>
      <c r="E474" s="20" t="str">
        <f aca="false">IF($A474="","",IF($C474="Borç",-$D474,$D474))</f>
        <v/>
      </c>
      <c r="F474" s="18" t="str">
        <f aca="false">IF($A474="","",IFERROR(IF(INDEX(tblOrtak[Ortak Adı],ROW($A474)-ROW(tblOrtak[[#Headers],[Tarih]])-1)=$B474,INDEX(tblOrtak[Bakiye (₺)],ROW($A474)-ROW(tblOrtak[[#Headers],[Tarih]])-1)+$E474,$E474),$E474))</f>
        <v/>
      </c>
      <c r="G474" s="19" t="str">
        <f aca="false">IF($A474="","",IFERROR(IF(INDEX(tblOrtak[Tarih],ROW($A474)-ROW(tblOrtak[[#Headers],[Tarih]])+1)=0,RaporTarihi,INDEX(tblOrtak[Tarih],ROW($A474)-ROW(tblOrtak[[#Headers],[Tarih]])+1))-$A474,RaporTarihi-$A474))</f>
        <v/>
      </c>
      <c r="H474" s="18" t="n">
        <f aca="false">IF($F474="",0,ROUND($F474*$G474,0))</f>
        <v>0</v>
      </c>
      <c r="I474" s="18" t="n">
        <f aca="false">IF($H474="",0,ROUND($H474*AdatFaizOran/AdatYilGunSayisi,2))</f>
        <v>0</v>
      </c>
      <c r="J474" s="22"/>
    </row>
    <row r="475" customFormat="false" ht="15" hidden="false" customHeight="false" outlineLevel="0" collapsed="false">
      <c r="A475" s="21"/>
      <c r="B475" s="22"/>
      <c r="C475" s="22"/>
      <c r="D475" s="23"/>
      <c r="E475" s="20" t="str">
        <f aca="false">IF($A475="","",IF($C475="Borç",-$D475,$D475))</f>
        <v/>
      </c>
      <c r="F475" s="18" t="str">
        <f aca="false">IF($A475="","",IFERROR(IF(INDEX(tblOrtak[Ortak Adı],ROW($A475)-ROW(tblOrtak[[#Headers],[Tarih]])-1)=$B475,INDEX(tblOrtak[Bakiye (₺)],ROW($A475)-ROW(tblOrtak[[#Headers],[Tarih]])-1)+$E475,$E475),$E475))</f>
        <v/>
      </c>
      <c r="G475" s="19" t="str">
        <f aca="false">IF($A475="","",IFERROR(IF(INDEX(tblOrtak[Tarih],ROW($A475)-ROW(tblOrtak[[#Headers],[Tarih]])+1)=0,RaporTarihi,INDEX(tblOrtak[Tarih],ROW($A475)-ROW(tblOrtak[[#Headers],[Tarih]])+1))-$A475,RaporTarihi-$A475))</f>
        <v/>
      </c>
      <c r="H475" s="18" t="n">
        <f aca="false">IF($F475="",0,ROUND($F475*$G475,0))</f>
        <v>0</v>
      </c>
      <c r="I475" s="18" t="n">
        <f aca="false">IF($H475="",0,ROUND($H475*AdatFaizOran/AdatYilGunSayisi,2))</f>
        <v>0</v>
      </c>
      <c r="J475" s="22"/>
    </row>
    <row r="476" customFormat="false" ht="15" hidden="false" customHeight="false" outlineLevel="0" collapsed="false">
      <c r="A476" s="21"/>
      <c r="B476" s="22"/>
      <c r="C476" s="22"/>
      <c r="D476" s="23"/>
      <c r="E476" s="20" t="str">
        <f aca="false">IF($A476="","",IF($C476="Borç",-$D476,$D476))</f>
        <v/>
      </c>
      <c r="F476" s="18" t="str">
        <f aca="false">IF($A476="","",IFERROR(IF(INDEX(tblOrtak[Ortak Adı],ROW($A476)-ROW(tblOrtak[[#Headers],[Tarih]])-1)=$B476,INDEX(tblOrtak[Bakiye (₺)],ROW($A476)-ROW(tblOrtak[[#Headers],[Tarih]])-1)+$E476,$E476),$E476))</f>
        <v/>
      </c>
      <c r="G476" s="19" t="str">
        <f aca="false">IF($A476="","",IFERROR(IF(INDEX(tblOrtak[Tarih],ROW($A476)-ROW(tblOrtak[[#Headers],[Tarih]])+1)=0,RaporTarihi,INDEX(tblOrtak[Tarih],ROW($A476)-ROW(tblOrtak[[#Headers],[Tarih]])+1))-$A476,RaporTarihi-$A476))</f>
        <v/>
      </c>
      <c r="H476" s="18" t="n">
        <f aca="false">IF($F476="",0,ROUND($F476*$G476,0))</f>
        <v>0</v>
      </c>
      <c r="I476" s="18" t="n">
        <f aca="false">IF($H476="",0,ROUND($H476*AdatFaizOran/AdatYilGunSayisi,2))</f>
        <v>0</v>
      </c>
      <c r="J476" s="22"/>
    </row>
    <row r="477" customFormat="false" ht="15" hidden="false" customHeight="false" outlineLevel="0" collapsed="false">
      <c r="A477" s="21"/>
      <c r="B477" s="22"/>
      <c r="C477" s="22"/>
      <c r="D477" s="23"/>
      <c r="E477" s="20" t="str">
        <f aca="false">IF($A477="","",IF($C477="Borç",-$D477,$D477))</f>
        <v/>
      </c>
      <c r="F477" s="18" t="str">
        <f aca="false">IF($A477="","",IFERROR(IF(INDEX(tblOrtak[Ortak Adı],ROW($A477)-ROW(tblOrtak[[#Headers],[Tarih]])-1)=$B477,INDEX(tblOrtak[Bakiye (₺)],ROW($A477)-ROW(tblOrtak[[#Headers],[Tarih]])-1)+$E477,$E477),$E477))</f>
        <v/>
      </c>
      <c r="G477" s="19" t="str">
        <f aca="false">IF($A477="","",IFERROR(IF(INDEX(tblOrtak[Tarih],ROW($A477)-ROW(tblOrtak[[#Headers],[Tarih]])+1)=0,RaporTarihi,INDEX(tblOrtak[Tarih],ROW($A477)-ROW(tblOrtak[[#Headers],[Tarih]])+1))-$A477,RaporTarihi-$A477))</f>
        <v/>
      </c>
      <c r="H477" s="18" t="n">
        <f aca="false">IF($F477="",0,ROUND($F477*$G477,0))</f>
        <v>0</v>
      </c>
      <c r="I477" s="18" t="n">
        <f aca="false">IF($H477="",0,ROUND($H477*AdatFaizOran/AdatYilGunSayisi,2))</f>
        <v>0</v>
      </c>
      <c r="J477" s="22"/>
    </row>
    <row r="478" customFormat="false" ht="15" hidden="false" customHeight="false" outlineLevel="0" collapsed="false">
      <c r="A478" s="21"/>
      <c r="B478" s="22"/>
      <c r="C478" s="22"/>
      <c r="D478" s="23"/>
      <c r="E478" s="20" t="str">
        <f aca="false">IF($A478="","",IF($C478="Borç",-$D478,$D478))</f>
        <v/>
      </c>
      <c r="F478" s="18" t="str">
        <f aca="false">IF($A478="","",IFERROR(IF(INDEX(tblOrtak[Ortak Adı],ROW($A478)-ROW(tblOrtak[[#Headers],[Tarih]])-1)=$B478,INDEX(tblOrtak[Bakiye (₺)],ROW($A478)-ROW(tblOrtak[[#Headers],[Tarih]])-1)+$E478,$E478),$E478))</f>
        <v/>
      </c>
      <c r="G478" s="19" t="str">
        <f aca="false">IF($A478="","",IFERROR(IF(INDEX(tblOrtak[Tarih],ROW($A478)-ROW(tblOrtak[[#Headers],[Tarih]])+1)=0,RaporTarihi,INDEX(tblOrtak[Tarih],ROW($A478)-ROW(tblOrtak[[#Headers],[Tarih]])+1))-$A478,RaporTarihi-$A478))</f>
        <v/>
      </c>
      <c r="H478" s="18" t="n">
        <f aca="false">IF($F478="",0,ROUND($F478*$G478,0))</f>
        <v>0</v>
      </c>
      <c r="I478" s="18" t="n">
        <f aca="false">IF($H478="",0,ROUND($H478*AdatFaizOran/AdatYilGunSayisi,2))</f>
        <v>0</v>
      </c>
      <c r="J478" s="22"/>
    </row>
    <row r="479" customFormat="false" ht="15" hidden="false" customHeight="false" outlineLevel="0" collapsed="false">
      <c r="A479" s="21"/>
      <c r="B479" s="22"/>
      <c r="C479" s="22"/>
      <c r="D479" s="23"/>
      <c r="E479" s="20" t="str">
        <f aca="false">IF($A479="","",IF($C479="Borç",-$D479,$D479))</f>
        <v/>
      </c>
      <c r="F479" s="18" t="str">
        <f aca="false">IF($A479="","",IFERROR(IF(INDEX(tblOrtak[Ortak Adı],ROW($A479)-ROW(tblOrtak[[#Headers],[Tarih]])-1)=$B479,INDEX(tblOrtak[Bakiye (₺)],ROW($A479)-ROW(tblOrtak[[#Headers],[Tarih]])-1)+$E479,$E479),$E479))</f>
        <v/>
      </c>
      <c r="G479" s="19" t="str">
        <f aca="false">IF($A479="","",IFERROR(IF(INDEX(tblOrtak[Tarih],ROW($A479)-ROW(tblOrtak[[#Headers],[Tarih]])+1)=0,RaporTarihi,INDEX(tblOrtak[Tarih],ROW($A479)-ROW(tblOrtak[[#Headers],[Tarih]])+1))-$A479,RaporTarihi-$A479))</f>
        <v/>
      </c>
      <c r="H479" s="18" t="n">
        <f aca="false">IF($F479="",0,ROUND($F479*$G479,0))</f>
        <v>0</v>
      </c>
      <c r="I479" s="18" t="n">
        <f aca="false">IF($H479="",0,ROUND($H479*AdatFaizOran/AdatYilGunSayisi,2))</f>
        <v>0</v>
      </c>
      <c r="J479" s="22"/>
    </row>
    <row r="480" customFormat="false" ht="15" hidden="false" customHeight="false" outlineLevel="0" collapsed="false">
      <c r="A480" s="21"/>
      <c r="B480" s="22"/>
      <c r="C480" s="22"/>
      <c r="D480" s="23"/>
      <c r="E480" s="20" t="str">
        <f aca="false">IF($A480="","",IF($C480="Borç",-$D480,$D480))</f>
        <v/>
      </c>
      <c r="F480" s="18" t="str">
        <f aca="false">IF($A480="","",IFERROR(IF(INDEX(tblOrtak[Ortak Adı],ROW($A480)-ROW(tblOrtak[[#Headers],[Tarih]])-1)=$B480,INDEX(tblOrtak[Bakiye (₺)],ROW($A480)-ROW(tblOrtak[[#Headers],[Tarih]])-1)+$E480,$E480),$E480))</f>
        <v/>
      </c>
      <c r="G480" s="19" t="str">
        <f aca="false">IF($A480="","",IFERROR(IF(INDEX(tblOrtak[Tarih],ROW($A480)-ROW(tblOrtak[[#Headers],[Tarih]])+1)=0,RaporTarihi,INDEX(tblOrtak[Tarih],ROW($A480)-ROW(tblOrtak[[#Headers],[Tarih]])+1))-$A480,RaporTarihi-$A480))</f>
        <v/>
      </c>
      <c r="H480" s="18" t="n">
        <f aca="false">IF($F480="",0,ROUND($F480*$G480,0))</f>
        <v>0</v>
      </c>
      <c r="I480" s="18" t="n">
        <f aca="false">IF($H480="",0,ROUND($H480*AdatFaizOran/AdatYilGunSayisi,2))</f>
        <v>0</v>
      </c>
      <c r="J480" s="22"/>
    </row>
    <row r="481" customFormat="false" ht="15" hidden="false" customHeight="false" outlineLevel="0" collapsed="false">
      <c r="A481" s="21"/>
      <c r="B481" s="22"/>
      <c r="C481" s="22"/>
      <c r="D481" s="23"/>
      <c r="E481" s="20" t="str">
        <f aca="false">IF($A481="","",IF($C481="Borç",-$D481,$D481))</f>
        <v/>
      </c>
      <c r="F481" s="18" t="str">
        <f aca="false">IF($A481="","",IFERROR(IF(INDEX(tblOrtak[Ortak Adı],ROW($A481)-ROW(tblOrtak[[#Headers],[Tarih]])-1)=$B481,INDEX(tblOrtak[Bakiye (₺)],ROW($A481)-ROW(tblOrtak[[#Headers],[Tarih]])-1)+$E481,$E481),$E481))</f>
        <v/>
      </c>
      <c r="G481" s="19" t="str">
        <f aca="false">IF($A481="","",IFERROR(IF(INDEX(tblOrtak[Tarih],ROW($A481)-ROW(tblOrtak[[#Headers],[Tarih]])+1)=0,RaporTarihi,INDEX(tblOrtak[Tarih],ROW($A481)-ROW(tblOrtak[[#Headers],[Tarih]])+1))-$A481,RaporTarihi-$A481))</f>
        <v/>
      </c>
      <c r="H481" s="18" t="n">
        <f aca="false">IF($F481="",0,ROUND($F481*$G481,0))</f>
        <v>0</v>
      </c>
      <c r="I481" s="18" t="n">
        <f aca="false">IF($H481="",0,ROUND($H481*AdatFaizOran/AdatYilGunSayisi,2))</f>
        <v>0</v>
      </c>
      <c r="J481" s="22"/>
    </row>
    <row r="482" customFormat="false" ht="15" hidden="false" customHeight="false" outlineLevel="0" collapsed="false">
      <c r="A482" s="21"/>
      <c r="B482" s="22"/>
      <c r="C482" s="22"/>
      <c r="D482" s="23"/>
      <c r="E482" s="20" t="str">
        <f aca="false">IF($A482="","",IF($C482="Borç",-$D482,$D482))</f>
        <v/>
      </c>
      <c r="F482" s="18" t="str">
        <f aca="false">IF($A482="","",IFERROR(IF(INDEX(tblOrtak[Ortak Adı],ROW($A482)-ROW(tblOrtak[[#Headers],[Tarih]])-1)=$B482,INDEX(tblOrtak[Bakiye (₺)],ROW($A482)-ROW(tblOrtak[[#Headers],[Tarih]])-1)+$E482,$E482),$E482))</f>
        <v/>
      </c>
      <c r="G482" s="19" t="str">
        <f aca="false">IF($A482="","",IFERROR(IF(INDEX(tblOrtak[Tarih],ROW($A482)-ROW(tblOrtak[[#Headers],[Tarih]])+1)=0,RaporTarihi,INDEX(tblOrtak[Tarih],ROW($A482)-ROW(tblOrtak[[#Headers],[Tarih]])+1))-$A482,RaporTarihi-$A482))</f>
        <v/>
      </c>
      <c r="H482" s="18" t="n">
        <f aca="false">IF($F482="",0,ROUND($F482*$G482,0))</f>
        <v>0</v>
      </c>
      <c r="I482" s="18" t="n">
        <f aca="false">IF($H482="",0,ROUND($H482*AdatFaizOran/AdatYilGunSayisi,2))</f>
        <v>0</v>
      </c>
      <c r="J482" s="22"/>
    </row>
    <row r="483" customFormat="false" ht="15" hidden="false" customHeight="false" outlineLevel="0" collapsed="false">
      <c r="A483" s="21"/>
      <c r="B483" s="22"/>
      <c r="C483" s="22"/>
      <c r="D483" s="23"/>
      <c r="E483" s="20" t="str">
        <f aca="false">IF($A483="","",IF($C483="Borç",-$D483,$D483))</f>
        <v/>
      </c>
      <c r="F483" s="18" t="str">
        <f aca="false">IF($A483="","",IFERROR(IF(INDEX(tblOrtak[Ortak Adı],ROW($A483)-ROW(tblOrtak[[#Headers],[Tarih]])-1)=$B483,INDEX(tblOrtak[Bakiye (₺)],ROW($A483)-ROW(tblOrtak[[#Headers],[Tarih]])-1)+$E483,$E483),$E483))</f>
        <v/>
      </c>
      <c r="G483" s="19" t="str">
        <f aca="false">IF($A483="","",IFERROR(IF(INDEX(tblOrtak[Tarih],ROW($A483)-ROW(tblOrtak[[#Headers],[Tarih]])+1)=0,RaporTarihi,INDEX(tblOrtak[Tarih],ROW($A483)-ROW(tblOrtak[[#Headers],[Tarih]])+1))-$A483,RaporTarihi-$A483))</f>
        <v/>
      </c>
      <c r="H483" s="18" t="n">
        <f aca="false">IF($F483="",0,ROUND($F483*$G483,0))</f>
        <v>0</v>
      </c>
      <c r="I483" s="18" t="n">
        <f aca="false">IF($H483="",0,ROUND($H483*AdatFaizOran/AdatYilGunSayisi,2))</f>
        <v>0</v>
      </c>
      <c r="J483" s="22"/>
    </row>
    <row r="484" customFormat="false" ht="15" hidden="false" customHeight="false" outlineLevel="0" collapsed="false">
      <c r="A484" s="21"/>
      <c r="B484" s="22"/>
      <c r="C484" s="22"/>
      <c r="D484" s="23"/>
      <c r="E484" s="20" t="str">
        <f aca="false">IF($A484="","",IF($C484="Borç",-$D484,$D484))</f>
        <v/>
      </c>
      <c r="F484" s="18" t="str">
        <f aca="false">IF($A484="","",IFERROR(IF(INDEX(tblOrtak[Ortak Adı],ROW($A484)-ROW(tblOrtak[[#Headers],[Tarih]])-1)=$B484,INDEX(tblOrtak[Bakiye (₺)],ROW($A484)-ROW(tblOrtak[[#Headers],[Tarih]])-1)+$E484,$E484),$E484))</f>
        <v/>
      </c>
      <c r="G484" s="19" t="str">
        <f aca="false">IF($A484="","",IFERROR(IF(INDEX(tblOrtak[Tarih],ROW($A484)-ROW(tblOrtak[[#Headers],[Tarih]])+1)=0,RaporTarihi,INDEX(tblOrtak[Tarih],ROW($A484)-ROW(tblOrtak[[#Headers],[Tarih]])+1))-$A484,RaporTarihi-$A484))</f>
        <v/>
      </c>
      <c r="H484" s="18" t="n">
        <f aca="false">IF($F484="",0,ROUND($F484*$G484,0))</f>
        <v>0</v>
      </c>
      <c r="I484" s="18" t="n">
        <f aca="false">IF($H484="",0,ROUND($H484*AdatFaizOran/AdatYilGunSayisi,2))</f>
        <v>0</v>
      </c>
      <c r="J484" s="22"/>
    </row>
    <row r="485" customFormat="false" ht="15" hidden="false" customHeight="false" outlineLevel="0" collapsed="false">
      <c r="A485" s="21"/>
      <c r="B485" s="22"/>
      <c r="C485" s="22"/>
      <c r="D485" s="23"/>
      <c r="E485" s="20" t="str">
        <f aca="false">IF($A485="","",IF($C485="Borç",-$D485,$D485))</f>
        <v/>
      </c>
      <c r="F485" s="18" t="str">
        <f aca="false">IF($A485="","",IFERROR(IF(INDEX(tblOrtak[Ortak Adı],ROW($A485)-ROW(tblOrtak[[#Headers],[Tarih]])-1)=$B485,INDEX(tblOrtak[Bakiye (₺)],ROW($A485)-ROW(tblOrtak[[#Headers],[Tarih]])-1)+$E485,$E485),$E485))</f>
        <v/>
      </c>
      <c r="G485" s="19" t="str">
        <f aca="false">IF($A485="","",IFERROR(IF(INDEX(tblOrtak[Tarih],ROW($A485)-ROW(tblOrtak[[#Headers],[Tarih]])+1)=0,RaporTarihi,INDEX(tblOrtak[Tarih],ROW($A485)-ROW(tblOrtak[[#Headers],[Tarih]])+1))-$A485,RaporTarihi-$A485))</f>
        <v/>
      </c>
      <c r="H485" s="18" t="n">
        <f aca="false">IF($F485="",0,ROUND($F485*$G485,0))</f>
        <v>0</v>
      </c>
      <c r="I485" s="18" t="n">
        <f aca="false">IF($H485="",0,ROUND($H485*AdatFaizOran/AdatYilGunSayisi,2))</f>
        <v>0</v>
      </c>
      <c r="J485" s="22"/>
    </row>
    <row r="486" customFormat="false" ht="15" hidden="false" customHeight="false" outlineLevel="0" collapsed="false">
      <c r="A486" s="21"/>
      <c r="B486" s="22"/>
      <c r="C486" s="22"/>
      <c r="D486" s="23"/>
      <c r="E486" s="20" t="str">
        <f aca="false">IF($A486="","",IF($C486="Borç",-$D486,$D486))</f>
        <v/>
      </c>
      <c r="F486" s="18" t="str">
        <f aca="false">IF($A486="","",IFERROR(IF(INDEX(tblOrtak[Ortak Adı],ROW($A486)-ROW(tblOrtak[[#Headers],[Tarih]])-1)=$B486,INDEX(tblOrtak[Bakiye (₺)],ROW($A486)-ROW(tblOrtak[[#Headers],[Tarih]])-1)+$E486,$E486),$E486))</f>
        <v/>
      </c>
      <c r="G486" s="19" t="str">
        <f aca="false">IF($A486="","",IFERROR(IF(INDEX(tblOrtak[Tarih],ROW($A486)-ROW(tblOrtak[[#Headers],[Tarih]])+1)=0,RaporTarihi,INDEX(tblOrtak[Tarih],ROW($A486)-ROW(tblOrtak[[#Headers],[Tarih]])+1))-$A486,RaporTarihi-$A486))</f>
        <v/>
      </c>
      <c r="H486" s="18" t="n">
        <f aca="false">IF($F486="",0,ROUND($F486*$G486,0))</f>
        <v>0</v>
      </c>
      <c r="I486" s="18" t="n">
        <f aca="false">IF($H486="",0,ROUND($H486*AdatFaizOran/AdatYilGunSayisi,2))</f>
        <v>0</v>
      </c>
      <c r="J486" s="22"/>
    </row>
    <row r="487" customFormat="false" ht="15" hidden="false" customHeight="false" outlineLevel="0" collapsed="false">
      <c r="A487" s="21"/>
      <c r="B487" s="22"/>
      <c r="C487" s="22"/>
      <c r="D487" s="23"/>
      <c r="E487" s="20" t="str">
        <f aca="false">IF($A487="","",IF($C487="Borç",-$D487,$D487))</f>
        <v/>
      </c>
      <c r="F487" s="18" t="str">
        <f aca="false">IF($A487="","",IFERROR(IF(INDEX(tblOrtak[Ortak Adı],ROW($A487)-ROW(tblOrtak[[#Headers],[Tarih]])-1)=$B487,INDEX(tblOrtak[Bakiye (₺)],ROW($A487)-ROW(tblOrtak[[#Headers],[Tarih]])-1)+$E487,$E487),$E487))</f>
        <v/>
      </c>
      <c r="G487" s="19" t="str">
        <f aca="false">IF($A487="","",IFERROR(IF(INDEX(tblOrtak[Tarih],ROW($A487)-ROW(tblOrtak[[#Headers],[Tarih]])+1)=0,RaporTarihi,INDEX(tblOrtak[Tarih],ROW($A487)-ROW(tblOrtak[[#Headers],[Tarih]])+1))-$A487,RaporTarihi-$A487))</f>
        <v/>
      </c>
      <c r="H487" s="18" t="n">
        <f aca="false">IF($F487="",0,ROUND($F487*$G487,0))</f>
        <v>0</v>
      </c>
      <c r="I487" s="18" t="n">
        <f aca="false">IF($H487="",0,ROUND($H487*AdatFaizOran/AdatYilGunSayisi,2))</f>
        <v>0</v>
      </c>
      <c r="J487" s="22"/>
    </row>
    <row r="488" customFormat="false" ht="15" hidden="false" customHeight="false" outlineLevel="0" collapsed="false">
      <c r="A488" s="21"/>
      <c r="B488" s="22"/>
      <c r="C488" s="22"/>
      <c r="D488" s="23"/>
      <c r="E488" s="20" t="str">
        <f aca="false">IF($A488="","",IF($C488="Borç",-$D488,$D488))</f>
        <v/>
      </c>
      <c r="F488" s="18" t="str">
        <f aca="false">IF($A488="","",IFERROR(IF(INDEX(tblOrtak[Ortak Adı],ROW($A488)-ROW(tblOrtak[[#Headers],[Tarih]])-1)=$B488,INDEX(tblOrtak[Bakiye (₺)],ROW($A488)-ROW(tblOrtak[[#Headers],[Tarih]])-1)+$E488,$E488),$E488))</f>
        <v/>
      </c>
      <c r="G488" s="19" t="str">
        <f aca="false">IF($A488="","",IFERROR(IF(INDEX(tblOrtak[Tarih],ROW($A488)-ROW(tblOrtak[[#Headers],[Tarih]])+1)=0,RaporTarihi,INDEX(tblOrtak[Tarih],ROW($A488)-ROW(tblOrtak[[#Headers],[Tarih]])+1))-$A488,RaporTarihi-$A488))</f>
        <v/>
      </c>
      <c r="H488" s="18" t="n">
        <f aca="false">IF($F488="",0,ROUND($F488*$G488,0))</f>
        <v>0</v>
      </c>
      <c r="I488" s="18" t="n">
        <f aca="false">IF($H488="",0,ROUND($H488*AdatFaizOran/AdatYilGunSayisi,2))</f>
        <v>0</v>
      </c>
      <c r="J488" s="22"/>
    </row>
    <row r="489" customFormat="false" ht="15" hidden="false" customHeight="false" outlineLevel="0" collapsed="false">
      <c r="A489" s="21"/>
      <c r="B489" s="22"/>
      <c r="C489" s="22"/>
      <c r="D489" s="23"/>
      <c r="E489" s="20" t="str">
        <f aca="false">IF($A489="","",IF($C489="Borç",-$D489,$D489))</f>
        <v/>
      </c>
      <c r="F489" s="18" t="str">
        <f aca="false">IF($A489="","",IFERROR(IF(INDEX(tblOrtak[Ortak Adı],ROW($A489)-ROW(tblOrtak[[#Headers],[Tarih]])-1)=$B489,INDEX(tblOrtak[Bakiye (₺)],ROW($A489)-ROW(tblOrtak[[#Headers],[Tarih]])-1)+$E489,$E489),$E489))</f>
        <v/>
      </c>
      <c r="G489" s="19" t="str">
        <f aca="false">IF($A489="","",IFERROR(IF(INDEX(tblOrtak[Tarih],ROW($A489)-ROW(tblOrtak[[#Headers],[Tarih]])+1)=0,RaporTarihi,INDEX(tblOrtak[Tarih],ROW($A489)-ROW(tblOrtak[[#Headers],[Tarih]])+1))-$A489,RaporTarihi-$A489))</f>
        <v/>
      </c>
      <c r="H489" s="18" t="n">
        <f aca="false">IF($F489="",0,ROUND($F489*$G489,0))</f>
        <v>0</v>
      </c>
      <c r="I489" s="18" t="n">
        <f aca="false">IF($H489="",0,ROUND($H489*AdatFaizOran/AdatYilGunSayisi,2))</f>
        <v>0</v>
      </c>
      <c r="J489" s="22"/>
    </row>
    <row r="490" customFormat="false" ht="15" hidden="false" customHeight="false" outlineLevel="0" collapsed="false">
      <c r="A490" s="21"/>
      <c r="B490" s="22"/>
      <c r="C490" s="22"/>
      <c r="D490" s="23"/>
      <c r="E490" s="20" t="str">
        <f aca="false">IF($A490="","",IF($C490="Borç",-$D490,$D490))</f>
        <v/>
      </c>
      <c r="F490" s="18" t="str">
        <f aca="false">IF($A490="","",IFERROR(IF(INDEX(tblOrtak[Ortak Adı],ROW($A490)-ROW(tblOrtak[[#Headers],[Tarih]])-1)=$B490,INDEX(tblOrtak[Bakiye (₺)],ROW($A490)-ROW(tblOrtak[[#Headers],[Tarih]])-1)+$E490,$E490),$E490))</f>
        <v/>
      </c>
      <c r="G490" s="19" t="str">
        <f aca="false">IF($A490="","",IFERROR(IF(INDEX(tblOrtak[Tarih],ROW($A490)-ROW(tblOrtak[[#Headers],[Tarih]])+1)=0,RaporTarihi,INDEX(tblOrtak[Tarih],ROW($A490)-ROW(tblOrtak[[#Headers],[Tarih]])+1))-$A490,RaporTarihi-$A490))</f>
        <v/>
      </c>
      <c r="H490" s="18" t="n">
        <f aca="false">IF($F490="",0,ROUND($F490*$G490,0))</f>
        <v>0</v>
      </c>
      <c r="I490" s="18" t="n">
        <f aca="false">IF($H490="",0,ROUND($H490*AdatFaizOran/AdatYilGunSayisi,2))</f>
        <v>0</v>
      </c>
      <c r="J490" s="22"/>
    </row>
    <row r="491" customFormat="false" ht="15" hidden="false" customHeight="false" outlineLevel="0" collapsed="false">
      <c r="A491" s="21"/>
      <c r="B491" s="22"/>
      <c r="C491" s="22"/>
      <c r="D491" s="23"/>
      <c r="E491" s="20" t="str">
        <f aca="false">IF($A491="","",IF($C491="Borç",-$D491,$D491))</f>
        <v/>
      </c>
      <c r="F491" s="18" t="str">
        <f aca="false">IF($A491="","",IFERROR(IF(INDEX(tblOrtak[Ortak Adı],ROW($A491)-ROW(tblOrtak[[#Headers],[Tarih]])-1)=$B491,INDEX(tblOrtak[Bakiye (₺)],ROW($A491)-ROW(tblOrtak[[#Headers],[Tarih]])-1)+$E491,$E491),$E491))</f>
        <v/>
      </c>
      <c r="G491" s="19" t="str">
        <f aca="false">IF($A491="","",IFERROR(IF(INDEX(tblOrtak[Tarih],ROW($A491)-ROW(tblOrtak[[#Headers],[Tarih]])+1)=0,RaporTarihi,INDEX(tblOrtak[Tarih],ROW($A491)-ROW(tblOrtak[[#Headers],[Tarih]])+1))-$A491,RaporTarihi-$A491))</f>
        <v/>
      </c>
      <c r="H491" s="18" t="n">
        <f aca="false">IF($F491="",0,ROUND($F491*$G491,0))</f>
        <v>0</v>
      </c>
      <c r="I491" s="18" t="n">
        <f aca="false">IF($H491="",0,ROUND($H491*AdatFaizOran/AdatYilGunSayisi,2))</f>
        <v>0</v>
      </c>
      <c r="J491" s="22"/>
    </row>
    <row r="492" customFormat="false" ht="15" hidden="false" customHeight="false" outlineLevel="0" collapsed="false">
      <c r="A492" s="21"/>
      <c r="B492" s="22"/>
      <c r="C492" s="22"/>
      <c r="D492" s="23"/>
      <c r="E492" s="20" t="str">
        <f aca="false">IF($A492="","",IF($C492="Borç",-$D492,$D492))</f>
        <v/>
      </c>
      <c r="F492" s="18" t="str">
        <f aca="false">IF($A492="","",IFERROR(IF(INDEX(tblOrtak[Ortak Adı],ROW($A492)-ROW(tblOrtak[[#Headers],[Tarih]])-1)=$B492,INDEX(tblOrtak[Bakiye (₺)],ROW($A492)-ROW(tblOrtak[[#Headers],[Tarih]])-1)+$E492,$E492),$E492))</f>
        <v/>
      </c>
      <c r="G492" s="19" t="str">
        <f aca="false">IF($A492="","",IFERROR(IF(INDEX(tblOrtak[Tarih],ROW($A492)-ROW(tblOrtak[[#Headers],[Tarih]])+1)=0,RaporTarihi,INDEX(tblOrtak[Tarih],ROW($A492)-ROW(tblOrtak[[#Headers],[Tarih]])+1))-$A492,RaporTarihi-$A492))</f>
        <v/>
      </c>
      <c r="H492" s="18" t="n">
        <f aca="false">IF($F492="",0,ROUND($F492*$G492,0))</f>
        <v>0</v>
      </c>
      <c r="I492" s="18" t="n">
        <f aca="false">IF($H492="",0,ROUND($H492*AdatFaizOran/AdatYilGunSayisi,2))</f>
        <v>0</v>
      </c>
      <c r="J492" s="22"/>
    </row>
    <row r="493" customFormat="false" ht="15" hidden="false" customHeight="false" outlineLevel="0" collapsed="false">
      <c r="A493" s="21"/>
      <c r="B493" s="22"/>
      <c r="C493" s="22"/>
      <c r="D493" s="23"/>
      <c r="E493" s="20" t="str">
        <f aca="false">IF($A493="","",IF($C493="Borç",-$D493,$D493))</f>
        <v/>
      </c>
      <c r="F493" s="18" t="str">
        <f aca="false">IF($A493="","",IFERROR(IF(INDEX(tblOrtak[Ortak Adı],ROW($A493)-ROW(tblOrtak[[#Headers],[Tarih]])-1)=$B493,INDEX(tblOrtak[Bakiye (₺)],ROW($A493)-ROW(tblOrtak[[#Headers],[Tarih]])-1)+$E493,$E493),$E493))</f>
        <v/>
      </c>
      <c r="G493" s="19" t="str">
        <f aca="false">IF($A493="","",IFERROR(IF(INDEX(tblOrtak[Tarih],ROW($A493)-ROW(tblOrtak[[#Headers],[Tarih]])+1)=0,RaporTarihi,INDEX(tblOrtak[Tarih],ROW($A493)-ROW(tblOrtak[[#Headers],[Tarih]])+1))-$A493,RaporTarihi-$A493))</f>
        <v/>
      </c>
      <c r="H493" s="18" t="n">
        <f aca="false">IF($F493="",0,ROUND($F493*$G493,0))</f>
        <v>0</v>
      </c>
      <c r="I493" s="18" t="n">
        <f aca="false">IF($H493="",0,ROUND($H493*AdatFaizOran/AdatYilGunSayisi,2))</f>
        <v>0</v>
      </c>
      <c r="J493" s="22"/>
    </row>
    <row r="494" customFormat="false" ht="15" hidden="false" customHeight="false" outlineLevel="0" collapsed="false">
      <c r="A494" s="21"/>
      <c r="B494" s="22"/>
      <c r="C494" s="22"/>
      <c r="D494" s="23"/>
      <c r="E494" s="20" t="str">
        <f aca="false">IF($A494="","",IF($C494="Borç",-$D494,$D494))</f>
        <v/>
      </c>
      <c r="F494" s="18" t="str">
        <f aca="false">IF($A494="","",IFERROR(IF(INDEX(tblOrtak[Ortak Adı],ROW($A494)-ROW(tblOrtak[[#Headers],[Tarih]])-1)=$B494,INDEX(tblOrtak[Bakiye (₺)],ROW($A494)-ROW(tblOrtak[[#Headers],[Tarih]])-1)+$E494,$E494),$E494))</f>
        <v/>
      </c>
      <c r="G494" s="19" t="str">
        <f aca="false">IF($A494="","",IFERROR(IF(INDEX(tblOrtak[Tarih],ROW($A494)-ROW(tblOrtak[[#Headers],[Tarih]])+1)=0,RaporTarihi,INDEX(tblOrtak[Tarih],ROW($A494)-ROW(tblOrtak[[#Headers],[Tarih]])+1))-$A494,RaporTarihi-$A494))</f>
        <v/>
      </c>
      <c r="H494" s="18" t="n">
        <f aca="false">IF($F494="",0,ROUND($F494*$G494,0))</f>
        <v>0</v>
      </c>
      <c r="I494" s="18" t="n">
        <f aca="false">IF($H494="",0,ROUND($H494*AdatFaizOran/AdatYilGunSayisi,2))</f>
        <v>0</v>
      </c>
      <c r="J494" s="22"/>
    </row>
    <row r="495" customFormat="false" ht="15" hidden="false" customHeight="false" outlineLevel="0" collapsed="false">
      <c r="A495" s="21"/>
      <c r="B495" s="22"/>
      <c r="C495" s="22"/>
      <c r="D495" s="23"/>
      <c r="E495" s="20" t="str">
        <f aca="false">IF($A495="","",IF($C495="Borç",-$D495,$D495))</f>
        <v/>
      </c>
      <c r="F495" s="18" t="str">
        <f aca="false">IF($A495="","",IFERROR(IF(INDEX(tblOrtak[Ortak Adı],ROW($A495)-ROW(tblOrtak[[#Headers],[Tarih]])-1)=$B495,INDEX(tblOrtak[Bakiye (₺)],ROW($A495)-ROW(tblOrtak[[#Headers],[Tarih]])-1)+$E495,$E495),$E495))</f>
        <v/>
      </c>
      <c r="G495" s="19" t="str">
        <f aca="false">IF($A495="","",IFERROR(IF(INDEX(tblOrtak[Tarih],ROW($A495)-ROW(tblOrtak[[#Headers],[Tarih]])+1)=0,RaporTarihi,INDEX(tblOrtak[Tarih],ROW($A495)-ROW(tblOrtak[[#Headers],[Tarih]])+1))-$A495,RaporTarihi-$A495))</f>
        <v/>
      </c>
      <c r="H495" s="18" t="n">
        <f aca="false">IF($F495="",0,ROUND($F495*$G495,0))</f>
        <v>0</v>
      </c>
      <c r="I495" s="18" t="n">
        <f aca="false">IF($H495="",0,ROUND($H495*AdatFaizOran/AdatYilGunSayisi,2))</f>
        <v>0</v>
      </c>
      <c r="J495" s="22"/>
    </row>
    <row r="496" customFormat="false" ht="15" hidden="false" customHeight="false" outlineLevel="0" collapsed="false">
      <c r="A496" s="21"/>
      <c r="B496" s="22"/>
      <c r="C496" s="22"/>
      <c r="D496" s="23"/>
      <c r="E496" s="20" t="str">
        <f aca="false">IF($A496="","",IF($C496="Borç",-$D496,$D496))</f>
        <v/>
      </c>
      <c r="F496" s="18" t="str">
        <f aca="false">IF($A496="","",IFERROR(IF(INDEX(tblOrtak[Ortak Adı],ROW($A496)-ROW(tblOrtak[[#Headers],[Tarih]])-1)=$B496,INDEX(tblOrtak[Bakiye (₺)],ROW($A496)-ROW(tblOrtak[[#Headers],[Tarih]])-1)+$E496,$E496),$E496))</f>
        <v/>
      </c>
      <c r="G496" s="19" t="str">
        <f aca="false">IF($A496="","",IFERROR(IF(INDEX(tblOrtak[Tarih],ROW($A496)-ROW(tblOrtak[[#Headers],[Tarih]])+1)=0,RaporTarihi,INDEX(tblOrtak[Tarih],ROW($A496)-ROW(tblOrtak[[#Headers],[Tarih]])+1))-$A496,RaporTarihi-$A496))</f>
        <v/>
      </c>
      <c r="H496" s="18" t="n">
        <f aca="false">IF($F496="",0,ROUND($F496*$G496,0))</f>
        <v>0</v>
      </c>
      <c r="I496" s="18" t="n">
        <f aca="false">IF($H496="",0,ROUND($H496*AdatFaizOran/AdatYilGunSayisi,2))</f>
        <v>0</v>
      </c>
      <c r="J496" s="22"/>
    </row>
    <row r="497" customFormat="false" ht="15" hidden="false" customHeight="false" outlineLevel="0" collapsed="false">
      <c r="A497" s="21"/>
      <c r="B497" s="22"/>
      <c r="C497" s="22"/>
      <c r="D497" s="23"/>
      <c r="E497" s="20" t="str">
        <f aca="false">IF($A497="","",IF($C497="Borç",-$D497,$D497))</f>
        <v/>
      </c>
      <c r="F497" s="18" t="str">
        <f aca="false">IF($A497="","",IFERROR(IF(INDEX(tblOrtak[Ortak Adı],ROW($A497)-ROW(tblOrtak[[#Headers],[Tarih]])-1)=$B497,INDEX(tblOrtak[Bakiye (₺)],ROW($A497)-ROW(tblOrtak[[#Headers],[Tarih]])-1)+$E497,$E497),$E497))</f>
        <v/>
      </c>
      <c r="G497" s="19" t="str">
        <f aca="false">IF($A497="","",IFERROR(IF(INDEX(tblOrtak[Tarih],ROW($A497)-ROW(tblOrtak[[#Headers],[Tarih]])+1)=0,RaporTarihi,INDEX(tblOrtak[Tarih],ROW($A497)-ROW(tblOrtak[[#Headers],[Tarih]])+1))-$A497,RaporTarihi-$A497))</f>
        <v/>
      </c>
      <c r="H497" s="18" t="n">
        <f aca="false">IF($F497="",0,ROUND($F497*$G497,0))</f>
        <v>0</v>
      </c>
      <c r="I497" s="18" t="n">
        <f aca="false">IF($H497="",0,ROUND($H497*AdatFaizOran/AdatYilGunSayisi,2))</f>
        <v>0</v>
      </c>
      <c r="J497" s="22"/>
    </row>
    <row r="498" customFormat="false" ht="15" hidden="false" customHeight="false" outlineLevel="0" collapsed="false">
      <c r="A498" s="21"/>
      <c r="B498" s="22"/>
      <c r="C498" s="22"/>
      <c r="D498" s="23"/>
      <c r="E498" s="20" t="str">
        <f aca="false">IF($A498="","",IF($C498="Borç",-$D498,$D498))</f>
        <v/>
      </c>
      <c r="F498" s="18" t="str">
        <f aca="false">IF($A498="","",IFERROR(IF(INDEX(tblOrtak[Ortak Adı],ROW($A498)-ROW(tblOrtak[[#Headers],[Tarih]])-1)=$B498,INDEX(tblOrtak[Bakiye (₺)],ROW($A498)-ROW(tblOrtak[[#Headers],[Tarih]])-1)+$E498,$E498),$E498))</f>
        <v/>
      </c>
      <c r="G498" s="19" t="str">
        <f aca="false">IF($A498="","",IFERROR(IF(INDEX(tblOrtak[Tarih],ROW($A498)-ROW(tblOrtak[[#Headers],[Tarih]])+1)=0,RaporTarihi,INDEX(tblOrtak[Tarih],ROW($A498)-ROW(tblOrtak[[#Headers],[Tarih]])+1))-$A498,RaporTarihi-$A498))</f>
        <v/>
      </c>
      <c r="H498" s="18" t="n">
        <f aca="false">IF($F498="",0,ROUND($F498*$G498,0))</f>
        <v>0</v>
      </c>
      <c r="I498" s="18" t="n">
        <f aca="false">IF($H498="",0,ROUND($H498*AdatFaizOran/AdatYilGunSayisi,2))</f>
        <v>0</v>
      </c>
      <c r="J498" s="22"/>
    </row>
    <row r="499" customFormat="false" ht="15" hidden="false" customHeight="false" outlineLevel="0" collapsed="false">
      <c r="A499" s="21"/>
      <c r="B499" s="22"/>
      <c r="C499" s="22"/>
      <c r="D499" s="23"/>
      <c r="E499" s="20" t="str">
        <f aca="false">IF($A499="","",IF($C499="Borç",-$D499,$D499))</f>
        <v/>
      </c>
      <c r="F499" s="18" t="str">
        <f aca="false">IF($A499="","",IFERROR(IF(INDEX(tblOrtak[Ortak Adı],ROW($A499)-ROW(tblOrtak[[#Headers],[Tarih]])-1)=$B499,INDEX(tblOrtak[Bakiye (₺)],ROW($A499)-ROW(tblOrtak[[#Headers],[Tarih]])-1)+$E499,$E499),$E499))</f>
        <v/>
      </c>
      <c r="G499" s="19" t="str">
        <f aca="false">IF($A499="","",IFERROR(IF(INDEX(tblOrtak[Tarih],ROW($A499)-ROW(tblOrtak[[#Headers],[Tarih]])+1)=0,RaporTarihi,INDEX(tblOrtak[Tarih],ROW($A499)-ROW(tblOrtak[[#Headers],[Tarih]])+1))-$A499,RaporTarihi-$A499))</f>
        <v/>
      </c>
      <c r="H499" s="18" t="n">
        <f aca="false">IF($F499="",0,ROUND($F499*$G499,0))</f>
        <v>0</v>
      </c>
      <c r="I499" s="18" t="n">
        <f aca="false">IF($H499="",0,ROUND($H499*AdatFaizOran/AdatYilGunSayisi,2))</f>
        <v>0</v>
      </c>
      <c r="J499" s="22"/>
    </row>
    <row r="500" customFormat="false" ht="15" hidden="false" customHeight="false" outlineLevel="0" collapsed="false">
      <c r="A500" s="21"/>
      <c r="B500" s="22"/>
      <c r="C500" s="22"/>
      <c r="D500" s="23"/>
      <c r="E500" s="20" t="str">
        <f aca="false">IF($A500="","",IF($C500="Borç",-$D500,$D500))</f>
        <v/>
      </c>
      <c r="F500" s="18" t="str">
        <f aca="false">IF($A500="","",IFERROR(IF(INDEX(tblOrtak[Ortak Adı],ROW($A500)-ROW(tblOrtak[[#Headers],[Tarih]])-1)=$B500,INDEX(tblOrtak[Bakiye (₺)],ROW($A500)-ROW(tblOrtak[[#Headers],[Tarih]])-1)+$E500,$E500),$E500))</f>
        <v/>
      </c>
      <c r="G500" s="19" t="str">
        <f aca="false">IF($A500="","",IFERROR(IF(INDEX(tblOrtak[Tarih],ROW($A500)-ROW(tblOrtak[[#Headers],[Tarih]])+1)=0,RaporTarihi,INDEX(tblOrtak[Tarih],ROW($A500)-ROW(tblOrtak[[#Headers],[Tarih]])+1))-$A500,RaporTarihi-$A500))</f>
        <v/>
      </c>
      <c r="H500" s="18" t="n">
        <f aca="false">IF($F500="",0,ROUND($F500*$G500,0))</f>
        <v>0</v>
      </c>
      <c r="I500" s="18" t="n">
        <f aca="false">IF($H500="",0,ROUND($H500*AdatFaizOran/AdatYilGunSayisi,2))</f>
        <v>0</v>
      </c>
      <c r="J500" s="22"/>
    </row>
    <row r="501" customFormat="false" ht="15" hidden="false" customHeight="false" outlineLevel="0" collapsed="false">
      <c r="A501" s="21"/>
      <c r="B501" s="22"/>
      <c r="C501" s="22"/>
      <c r="D501" s="23"/>
      <c r="E501" s="20" t="str">
        <f aca="false">IF($A501="","",IF($C501="Borç",-$D501,$D501))</f>
        <v/>
      </c>
      <c r="F501" s="18" t="str">
        <f aca="false">IF($A501="","",IFERROR(IF(INDEX(tblOrtak[Ortak Adı],ROW($A501)-ROW(tblOrtak[[#Headers],[Tarih]])-1)=$B501,INDEX(tblOrtak[Bakiye (₺)],ROW($A501)-ROW(tblOrtak[[#Headers],[Tarih]])-1)+$E501,$E501),$E501))</f>
        <v/>
      </c>
      <c r="G501" s="19" t="str">
        <f aca="false">IF($A501="","",IFERROR(IF(INDEX(tblOrtak[Tarih],ROW($A501)-ROW(tblOrtak[[#Headers],[Tarih]])+1)=0,RaporTarihi,INDEX(tblOrtak[Tarih],ROW($A501)-ROW(tblOrtak[[#Headers],[Tarih]])+1))-$A501,RaporTarihi-$A501))</f>
        <v/>
      </c>
      <c r="H501" s="18" t="n">
        <f aca="false">IF($F501="",0,ROUND($F501*$G501,0))</f>
        <v>0</v>
      </c>
      <c r="I501" s="18" t="n">
        <f aca="false">IF($H501="",0,ROUND($H501*AdatFaizOran/AdatYilGunSayisi,2))</f>
        <v>0</v>
      </c>
      <c r="J501" s="22"/>
    </row>
    <row r="502" customFormat="false" ht="15" hidden="false" customHeight="false" outlineLevel="0" collapsed="false">
      <c r="A502" s="21"/>
      <c r="B502" s="22"/>
      <c r="C502" s="22"/>
      <c r="D502" s="23"/>
      <c r="E502" s="20" t="str">
        <f aca="false">IF($A502="","",IF($C502="Borç",-$D502,$D502))</f>
        <v/>
      </c>
      <c r="F502" s="18" t="str">
        <f aca="false">IF($A502="","",IFERROR(IF(INDEX(tblOrtak[Ortak Adı],ROW($A502)-ROW(tblOrtak[[#Headers],[Tarih]])-1)=$B502,INDEX(tblOrtak[Bakiye (₺)],ROW($A502)-ROW(tblOrtak[[#Headers],[Tarih]])-1)+$E502,$E502),$E502))</f>
        <v/>
      </c>
      <c r="G502" s="19" t="str">
        <f aca="false">IF($A502="","",IFERROR(IF(INDEX(tblOrtak[Tarih],ROW($A502)-ROW(tblOrtak[[#Headers],[Tarih]])+1)=0,RaporTarihi,INDEX(tblOrtak[Tarih],ROW($A502)-ROW(tblOrtak[[#Headers],[Tarih]])+1))-$A502,RaporTarihi-$A502))</f>
        <v/>
      </c>
      <c r="H502" s="18" t="n">
        <f aca="false">IF($F502="",0,ROUND($F502*$G502,0))</f>
        <v>0</v>
      </c>
      <c r="I502" s="18" t="n">
        <f aca="false">IF($H502="",0,ROUND($H502*AdatFaizOran/AdatYilGunSayisi,2))</f>
        <v>0</v>
      </c>
      <c r="J502" s="22"/>
    </row>
    <row r="503" customFormat="false" ht="15" hidden="false" customHeight="false" outlineLevel="0" collapsed="false">
      <c r="A503" s="21"/>
      <c r="B503" s="22"/>
      <c r="C503" s="22"/>
      <c r="D503" s="23"/>
      <c r="E503" s="20" t="str">
        <f aca="false">IF($A503="","",IF($C503="Borç",-$D503,$D503))</f>
        <v/>
      </c>
      <c r="F503" s="18" t="str">
        <f aca="false">IF($A503="","",IFERROR(IF(INDEX(tblOrtak[Ortak Adı],ROW($A503)-ROW(tblOrtak[[#Headers],[Tarih]])-1)=$B503,INDEX(tblOrtak[Bakiye (₺)],ROW($A503)-ROW(tblOrtak[[#Headers],[Tarih]])-1)+$E503,$E503),$E503))</f>
        <v/>
      </c>
      <c r="G503" s="19" t="str">
        <f aca="false">IF($A503="","",IFERROR(IF(INDEX(tblOrtak[Tarih],ROW($A503)-ROW(tblOrtak[[#Headers],[Tarih]])+1)=0,RaporTarihi,INDEX(tblOrtak[Tarih],ROW($A503)-ROW(tblOrtak[[#Headers],[Tarih]])+1))-$A503,RaporTarihi-$A503))</f>
        <v/>
      </c>
      <c r="H503" s="18" t="n">
        <f aca="false">IF($F503="",0,ROUND($F503*$G503,0))</f>
        <v>0</v>
      </c>
      <c r="I503" s="18" t="n">
        <f aca="false">IF($H503="",0,ROUND($H503*AdatFaizOran/AdatYilGunSayisi,2))</f>
        <v>0</v>
      </c>
      <c r="J503" s="22"/>
    </row>
    <row r="504" customFormat="false" ht="15" hidden="false" customHeight="false" outlineLevel="0" collapsed="false">
      <c r="A504" s="21"/>
      <c r="B504" s="22"/>
      <c r="C504" s="22"/>
      <c r="D504" s="23"/>
      <c r="E504" s="20" t="str">
        <f aca="false">IF($A504="","",IF($C504="Borç",-$D504,$D504))</f>
        <v/>
      </c>
      <c r="F504" s="18" t="str">
        <f aca="false">IF($A504="","",IFERROR(IF(INDEX(tblOrtak[Ortak Adı],ROW($A504)-ROW(tblOrtak[[#Headers],[Tarih]])-1)=$B504,INDEX(tblOrtak[Bakiye (₺)],ROW($A504)-ROW(tblOrtak[[#Headers],[Tarih]])-1)+$E504,$E504),$E504))</f>
        <v/>
      </c>
      <c r="G504" s="19" t="str">
        <f aca="false">IF($A504="","",IFERROR(IF(INDEX(tblOrtak[Tarih],ROW($A504)-ROW(tblOrtak[[#Headers],[Tarih]])+1)=0,RaporTarihi,INDEX(tblOrtak[Tarih],ROW($A504)-ROW(tblOrtak[[#Headers],[Tarih]])+1))-$A504,RaporTarihi-$A504))</f>
        <v/>
      </c>
      <c r="H504" s="18" t="n">
        <f aca="false">IF($F504="",0,ROUND($F504*$G504,0))</f>
        <v>0</v>
      </c>
      <c r="I504" s="18" t="n">
        <f aca="false">IF($H504="",0,ROUND($H504*AdatFaizOran/AdatYilGunSayisi,2))</f>
        <v>0</v>
      </c>
      <c r="J504" s="22"/>
    </row>
    <row r="505" customFormat="false" ht="15" hidden="false" customHeight="false" outlineLevel="0" collapsed="false">
      <c r="A505" s="21"/>
      <c r="B505" s="22"/>
      <c r="C505" s="22"/>
      <c r="D505" s="23"/>
      <c r="E505" s="20" t="str">
        <f aca="false">IF($A505="","",IF($C505="Borç",-$D505,$D505))</f>
        <v/>
      </c>
      <c r="F505" s="18" t="str">
        <f aca="false">IF($A505="","",IFERROR(IF(INDEX(tblOrtak[Ortak Adı],ROW($A505)-ROW(tblOrtak[[#Headers],[Tarih]])-1)=$B505,INDEX(tblOrtak[Bakiye (₺)],ROW($A505)-ROW(tblOrtak[[#Headers],[Tarih]])-1)+$E505,$E505),$E505))</f>
        <v/>
      </c>
      <c r="G505" s="19" t="str">
        <f aca="false">IF($A505="","",IFERROR(IF(INDEX(tblOrtak[Tarih],ROW($A505)-ROW(tblOrtak[[#Headers],[Tarih]])+1)=0,RaporTarihi,INDEX(tblOrtak[Tarih],ROW($A505)-ROW(tblOrtak[[#Headers],[Tarih]])+1))-$A505,RaporTarihi-$A505))</f>
        <v/>
      </c>
      <c r="H505" s="18" t="n">
        <f aca="false">IF($F505="",0,ROUND($F505*$G505,0))</f>
        <v>0</v>
      </c>
      <c r="I505" s="18" t="n">
        <f aca="false">IF($H505="",0,ROUND($H505*AdatFaizOran/AdatYilGunSayisi,2))</f>
        <v>0</v>
      </c>
      <c r="J505" s="22"/>
    </row>
    <row r="506" customFormat="false" ht="15" hidden="false" customHeight="false" outlineLevel="0" collapsed="false">
      <c r="A506" s="21"/>
      <c r="B506" s="22"/>
      <c r="C506" s="22"/>
      <c r="D506" s="23"/>
      <c r="E506" s="20" t="str">
        <f aca="false">IF($A506="","",IF($C506="Borç",-$D506,$D506))</f>
        <v/>
      </c>
      <c r="F506" s="18" t="str">
        <f aca="false">IF($A506="","",IFERROR(IF(INDEX(tblOrtak[Ortak Adı],ROW($A506)-ROW(tblOrtak[[#Headers],[Tarih]])-1)=$B506,INDEX(tblOrtak[Bakiye (₺)],ROW($A506)-ROW(tblOrtak[[#Headers],[Tarih]])-1)+$E506,$E506),$E506))</f>
        <v/>
      </c>
      <c r="G506" s="19" t="str">
        <f aca="false">IF($A506="","",IFERROR(IF(INDEX(tblOrtak[Tarih],ROW($A506)-ROW(tblOrtak[[#Headers],[Tarih]])+1)=0,RaporTarihi,INDEX(tblOrtak[Tarih],ROW($A506)-ROW(tblOrtak[[#Headers],[Tarih]])+1))-$A506,RaporTarihi-$A506))</f>
        <v/>
      </c>
      <c r="H506" s="18" t="n">
        <f aca="false">IF($F506="",0,ROUND($F506*$G506,0))</f>
        <v>0</v>
      </c>
      <c r="I506" s="18" t="n">
        <f aca="false">IF($H506="",0,ROUND($H506*AdatFaizOran/AdatYilGunSayisi,2))</f>
        <v>0</v>
      </c>
      <c r="J506" s="22"/>
    </row>
    <row r="507" customFormat="false" ht="15" hidden="false" customHeight="false" outlineLevel="0" collapsed="false">
      <c r="A507" s="21"/>
      <c r="B507" s="22"/>
      <c r="C507" s="22"/>
      <c r="D507" s="23"/>
      <c r="E507" s="20" t="str">
        <f aca="false">IF($A507="","",IF($C507="Borç",-$D507,$D507))</f>
        <v/>
      </c>
      <c r="F507" s="18" t="str">
        <f aca="false">IF($A507="","",IFERROR(IF(INDEX(tblOrtak[Ortak Adı],ROW($A507)-ROW(tblOrtak[[#Headers],[Tarih]])-1)=$B507,INDEX(tblOrtak[Bakiye (₺)],ROW($A507)-ROW(tblOrtak[[#Headers],[Tarih]])-1)+$E507,$E507),$E507))</f>
        <v/>
      </c>
      <c r="G507" s="19" t="str">
        <f aca="false">IF($A507="","",IFERROR(IF(INDEX(tblOrtak[Tarih],ROW($A507)-ROW(tblOrtak[[#Headers],[Tarih]])+1)=0,RaporTarihi,INDEX(tblOrtak[Tarih],ROW($A507)-ROW(tblOrtak[[#Headers],[Tarih]])+1))-$A507,RaporTarihi-$A507))</f>
        <v/>
      </c>
      <c r="H507" s="18" t="n">
        <f aca="false">IF($F507="",0,ROUND($F507*$G507,0))</f>
        <v>0</v>
      </c>
      <c r="I507" s="18" t="n">
        <f aca="false">IF($H507="",0,ROUND($H507*AdatFaizOran/AdatYilGunSayisi,2))</f>
        <v>0</v>
      </c>
      <c r="J507" s="22"/>
    </row>
    <row r="508" customFormat="false" ht="15" hidden="false" customHeight="false" outlineLevel="0" collapsed="false">
      <c r="A508" s="21"/>
      <c r="B508" s="22"/>
      <c r="C508" s="22"/>
      <c r="D508" s="23"/>
      <c r="E508" s="20" t="str">
        <f aca="false">IF($A508="","",IF($C508="Borç",-$D508,$D508))</f>
        <v/>
      </c>
      <c r="F508" s="18" t="str">
        <f aca="false">IF($A508="","",IFERROR(IF(INDEX(tblOrtak[Ortak Adı],ROW($A508)-ROW(tblOrtak[[#Headers],[Tarih]])-1)=$B508,INDEX(tblOrtak[Bakiye (₺)],ROW($A508)-ROW(tblOrtak[[#Headers],[Tarih]])-1)+$E508,$E508),$E508))</f>
        <v/>
      </c>
      <c r="G508" s="19" t="str">
        <f aca="false">IF($A508="","",IFERROR(IF(INDEX(tblOrtak[Tarih],ROW($A508)-ROW(tblOrtak[[#Headers],[Tarih]])+1)=0,RaporTarihi,INDEX(tblOrtak[Tarih],ROW($A508)-ROW(tblOrtak[[#Headers],[Tarih]])+1))-$A508,RaporTarihi-$A508))</f>
        <v/>
      </c>
      <c r="H508" s="18" t="n">
        <f aca="false">IF($F508="",0,ROUND($F508*$G508,0))</f>
        <v>0</v>
      </c>
      <c r="I508" s="18" t="n">
        <f aca="false">IF($H508="",0,ROUND($H508*AdatFaizOran/AdatYilGunSayisi,2))</f>
        <v>0</v>
      </c>
      <c r="J508" s="22"/>
    </row>
    <row r="509" customFormat="false" ht="15" hidden="false" customHeight="false" outlineLevel="0" collapsed="false">
      <c r="A509" s="21"/>
      <c r="B509" s="22"/>
      <c r="C509" s="22"/>
      <c r="D509" s="23"/>
      <c r="E509" s="20" t="str">
        <f aca="false">IF($A509="","",IF($C509="Borç",-$D509,$D509))</f>
        <v/>
      </c>
      <c r="F509" s="18" t="str">
        <f aca="false">IF($A509="","",IFERROR(IF(INDEX(tblOrtak[Ortak Adı],ROW($A509)-ROW(tblOrtak[[#Headers],[Tarih]])-1)=$B509,INDEX(tblOrtak[Bakiye (₺)],ROW($A509)-ROW(tblOrtak[[#Headers],[Tarih]])-1)+$E509,$E509),$E509))</f>
        <v/>
      </c>
      <c r="G509" s="19" t="str">
        <f aca="false">IF($A509="","",IFERROR(IF(INDEX(tblOrtak[Tarih],ROW($A509)-ROW(tblOrtak[[#Headers],[Tarih]])+1)=0,RaporTarihi,INDEX(tblOrtak[Tarih],ROW($A509)-ROW(tblOrtak[[#Headers],[Tarih]])+1))-$A509,RaporTarihi-$A509))</f>
        <v/>
      </c>
      <c r="H509" s="18" t="n">
        <f aca="false">IF($F509="",0,ROUND($F509*$G509,0))</f>
        <v>0</v>
      </c>
      <c r="I509" s="18" t="n">
        <f aca="false">IF($H509="",0,ROUND($H509*AdatFaizOran/AdatYilGunSayisi,2))</f>
        <v>0</v>
      </c>
      <c r="J509" s="22"/>
    </row>
    <row r="510" customFormat="false" ht="15" hidden="false" customHeight="false" outlineLevel="0" collapsed="false">
      <c r="A510" s="21"/>
      <c r="B510" s="22"/>
      <c r="C510" s="22"/>
      <c r="D510" s="23"/>
      <c r="E510" s="20" t="str">
        <f aca="false">IF($A510="","",IF($C510="Borç",-$D510,$D510))</f>
        <v/>
      </c>
      <c r="F510" s="18" t="str">
        <f aca="false">IF($A510="","",IFERROR(IF(INDEX(tblOrtak[Ortak Adı],ROW($A510)-ROW(tblOrtak[[#Headers],[Tarih]])-1)=$B510,INDEX(tblOrtak[Bakiye (₺)],ROW($A510)-ROW(tblOrtak[[#Headers],[Tarih]])-1)+$E510,$E510),$E510))</f>
        <v/>
      </c>
      <c r="G510" s="19" t="str">
        <f aca="false">IF($A510="","",IFERROR(IF(INDEX(tblOrtak[Tarih],ROW($A510)-ROW(tblOrtak[[#Headers],[Tarih]])+1)=0,RaporTarihi,INDEX(tblOrtak[Tarih],ROW($A510)-ROW(tblOrtak[[#Headers],[Tarih]])+1))-$A510,RaporTarihi-$A510))</f>
        <v/>
      </c>
      <c r="H510" s="18" t="n">
        <f aca="false">IF($F510="",0,ROUND($F510*$G510,0))</f>
        <v>0</v>
      </c>
      <c r="I510" s="18" t="n">
        <f aca="false">IF($H510="",0,ROUND($H510*AdatFaizOran/AdatYilGunSayisi,2))</f>
        <v>0</v>
      </c>
      <c r="J510" s="22"/>
    </row>
    <row r="511" customFormat="false" ht="15" hidden="false" customHeight="false" outlineLevel="0" collapsed="false">
      <c r="A511" s="21"/>
      <c r="B511" s="22"/>
      <c r="C511" s="22"/>
      <c r="D511" s="23"/>
      <c r="E511" s="20" t="str">
        <f aca="false">IF($A511="","",IF($C511="Borç",-$D511,$D511))</f>
        <v/>
      </c>
      <c r="F511" s="18" t="str">
        <f aca="false">IF($A511="","",IFERROR(IF(INDEX(tblOrtak[Ortak Adı],ROW($A511)-ROW(tblOrtak[[#Headers],[Tarih]])-1)=$B511,INDEX(tblOrtak[Bakiye (₺)],ROW($A511)-ROW(tblOrtak[[#Headers],[Tarih]])-1)+$E511,$E511),$E511))</f>
        <v/>
      </c>
      <c r="G511" s="19" t="str">
        <f aca="false">IF($A511="","",IFERROR(IF(INDEX(tblOrtak[Tarih],ROW($A511)-ROW(tblOrtak[[#Headers],[Tarih]])+1)=0,RaporTarihi,INDEX(tblOrtak[Tarih],ROW($A511)-ROW(tblOrtak[[#Headers],[Tarih]])+1))-$A511,RaporTarihi-$A511))</f>
        <v/>
      </c>
      <c r="H511" s="18" t="n">
        <f aca="false">IF($F511="",0,ROUND($F511*$G511,0))</f>
        <v>0</v>
      </c>
      <c r="I511" s="18" t="n">
        <f aca="false">IF($H511="",0,ROUND($H511*AdatFaizOran/AdatYilGunSayisi,2))</f>
        <v>0</v>
      </c>
      <c r="J511" s="22"/>
    </row>
    <row r="512" customFormat="false" ht="15" hidden="false" customHeight="false" outlineLevel="0" collapsed="false">
      <c r="A512" s="21"/>
      <c r="B512" s="22"/>
      <c r="C512" s="22"/>
      <c r="D512" s="23"/>
      <c r="E512" s="20" t="str">
        <f aca="false">IF($A512="","",IF($C512="Borç",-$D512,$D512))</f>
        <v/>
      </c>
      <c r="F512" s="18" t="str">
        <f aca="false">IF($A512="","",IFERROR(IF(INDEX(tblOrtak[Ortak Adı],ROW($A512)-ROW(tblOrtak[[#Headers],[Tarih]])-1)=$B512,INDEX(tblOrtak[Bakiye (₺)],ROW($A512)-ROW(tblOrtak[[#Headers],[Tarih]])-1)+$E512,$E512),$E512))</f>
        <v/>
      </c>
      <c r="G512" s="19" t="str">
        <f aca="false">IF($A512="","",IFERROR(IF(INDEX(tblOrtak[Tarih],ROW($A512)-ROW(tblOrtak[[#Headers],[Tarih]])+1)=0,RaporTarihi,INDEX(tblOrtak[Tarih],ROW($A512)-ROW(tblOrtak[[#Headers],[Tarih]])+1))-$A512,RaporTarihi-$A512))</f>
        <v/>
      </c>
      <c r="H512" s="18" t="n">
        <f aca="false">IF($F512="",0,ROUND($F512*$G512,0))</f>
        <v>0</v>
      </c>
      <c r="I512" s="18" t="n">
        <f aca="false">IF($H512="",0,ROUND($H512*AdatFaizOran/AdatYilGunSayisi,2))</f>
        <v>0</v>
      </c>
      <c r="J512" s="22"/>
    </row>
    <row r="513" customFormat="false" ht="15" hidden="false" customHeight="false" outlineLevel="0" collapsed="false">
      <c r="A513" s="21"/>
      <c r="B513" s="22"/>
      <c r="C513" s="22"/>
      <c r="D513" s="23"/>
      <c r="E513" s="20" t="str">
        <f aca="false">IF($A513="","",IF($C513="Borç",-$D513,$D513))</f>
        <v/>
      </c>
      <c r="F513" s="18" t="str">
        <f aca="false">IF($A513="","",IFERROR(IF(INDEX(tblOrtak[Ortak Adı],ROW($A513)-ROW(tblOrtak[[#Headers],[Tarih]])-1)=$B513,INDEX(tblOrtak[Bakiye (₺)],ROW($A513)-ROW(tblOrtak[[#Headers],[Tarih]])-1)+$E513,$E513),$E513))</f>
        <v/>
      </c>
      <c r="G513" s="19" t="str">
        <f aca="false">IF($A513="","",IFERROR(IF(INDEX(tblOrtak[Tarih],ROW($A513)-ROW(tblOrtak[[#Headers],[Tarih]])+1)=0,RaporTarihi,INDEX(tblOrtak[Tarih],ROW($A513)-ROW(tblOrtak[[#Headers],[Tarih]])+1))-$A513,RaporTarihi-$A513))</f>
        <v/>
      </c>
      <c r="H513" s="18" t="n">
        <f aca="false">IF($F513="",0,ROUND($F513*$G513,0))</f>
        <v>0</v>
      </c>
      <c r="I513" s="18" t="n">
        <f aca="false">IF($H513="",0,ROUND($H513*AdatFaizOran/AdatYilGunSayisi,2))</f>
        <v>0</v>
      </c>
      <c r="J513" s="22"/>
    </row>
    <row r="514" customFormat="false" ht="15" hidden="false" customHeight="false" outlineLevel="0" collapsed="false">
      <c r="A514" s="21"/>
      <c r="B514" s="22"/>
      <c r="C514" s="22"/>
      <c r="D514" s="23"/>
      <c r="E514" s="20" t="str">
        <f aca="false">IF($A514="","",IF($C514="Borç",-$D514,$D514))</f>
        <v/>
      </c>
      <c r="F514" s="18" t="str">
        <f aca="false">IF($A514="","",IFERROR(IF(INDEX(tblOrtak[Ortak Adı],ROW($A514)-ROW(tblOrtak[[#Headers],[Tarih]])-1)=$B514,INDEX(tblOrtak[Bakiye (₺)],ROW($A514)-ROW(tblOrtak[[#Headers],[Tarih]])-1)+$E514,$E514),$E514))</f>
        <v/>
      </c>
      <c r="G514" s="19" t="str">
        <f aca="false">IF($A514="","",IFERROR(IF(INDEX(tblOrtak[Tarih],ROW($A514)-ROW(tblOrtak[[#Headers],[Tarih]])+1)=0,RaporTarihi,INDEX(tblOrtak[Tarih],ROW($A514)-ROW(tblOrtak[[#Headers],[Tarih]])+1))-$A514,RaporTarihi-$A514))</f>
        <v/>
      </c>
      <c r="H514" s="18" t="n">
        <f aca="false">IF($F514="",0,ROUND($F514*$G514,0))</f>
        <v>0</v>
      </c>
      <c r="I514" s="18" t="n">
        <f aca="false">IF($H514="",0,ROUND($H514*AdatFaizOran/AdatYilGunSayisi,2))</f>
        <v>0</v>
      </c>
      <c r="J514" s="22"/>
    </row>
    <row r="515" customFormat="false" ht="15" hidden="false" customHeight="false" outlineLevel="0" collapsed="false">
      <c r="A515" s="21"/>
      <c r="B515" s="22"/>
      <c r="C515" s="22"/>
      <c r="D515" s="23"/>
      <c r="E515" s="20" t="str">
        <f aca="false">IF($A515="","",IF($C515="Borç",-$D515,$D515))</f>
        <v/>
      </c>
      <c r="F515" s="18" t="str">
        <f aca="false">IF($A515="","",IFERROR(IF(INDEX(tblOrtak[Ortak Adı],ROW($A515)-ROW(tblOrtak[[#Headers],[Tarih]])-1)=$B515,INDEX(tblOrtak[Bakiye (₺)],ROW($A515)-ROW(tblOrtak[[#Headers],[Tarih]])-1)+$E515,$E515),$E515))</f>
        <v/>
      </c>
      <c r="G515" s="19" t="str">
        <f aca="false">IF($A515="","",IFERROR(IF(INDEX(tblOrtak[Tarih],ROW($A515)-ROW(tblOrtak[[#Headers],[Tarih]])+1)=0,RaporTarihi,INDEX(tblOrtak[Tarih],ROW($A515)-ROW(tblOrtak[[#Headers],[Tarih]])+1))-$A515,RaporTarihi-$A515))</f>
        <v/>
      </c>
      <c r="H515" s="18" t="n">
        <f aca="false">IF($F515="",0,ROUND($F515*$G515,0))</f>
        <v>0</v>
      </c>
      <c r="I515" s="18" t="n">
        <f aca="false">IF($H515="",0,ROUND($H515*AdatFaizOran/AdatYilGunSayisi,2))</f>
        <v>0</v>
      </c>
      <c r="J515" s="22"/>
    </row>
    <row r="516" customFormat="false" ht="15" hidden="false" customHeight="false" outlineLevel="0" collapsed="false">
      <c r="A516" s="21"/>
      <c r="B516" s="22"/>
      <c r="C516" s="22"/>
      <c r="D516" s="23"/>
      <c r="E516" s="20" t="str">
        <f aca="false">IF($A516="","",IF($C516="Borç",-$D516,$D516))</f>
        <v/>
      </c>
      <c r="F516" s="18" t="str">
        <f aca="false">IF($A516="","",IFERROR(IF(INDEX(tblOrtak[Ortak Adı],ROW($A516)-ROW(tblOrtak[[#Headers],[Tarih]])-1)=$B516,INDEX(tblOrtak[Bakiye (₺)],ROW($A516)-ROW(tblOrtak[[#Headers],[Tarih]])-1)+$E516,$E516),$E516))</f>
        <v/>
      </c>
      <c r="G516" s="19" t="str">
        <f aca="false">IF($A516="","",IFERROR(IF(INDEX(tblOrtak[Tarih],ROW($A516)-ROW(tblOrtak[[#Headers],[Tarih]])+1)=0,RaporTarihi,INDEX(tblOrtak[Tarih],ROW($A516)-ROW(tblOrtak[[#Headers],[Tarih]])+1))-$A516,RaporTarihi-$A516))</f>
        <v/>
      </c>
      <c r="H516" s="18" t="n">
        <f aca="false">IF($F516="",0,ROUND($F516*$G516,0))</f>
        <v>0</v>
      </c>
      <c r="I516" s="18" t="n">
        <f aca="false">IF($H516="",0,ROUND($H516*AdatFaizOran/AdatYilGunSayisi,2))</f>
        <v>0</v>
      </c>
      <c r="J516" s="22"/>
    </row>
    <row r="517" customFormat="false" ht="15" hidden="false" customHeight="false" outlineLevel="0" collapsed="false">
      <c r="A517" s="21"/>
      <c r="B517" s="22"/>
      <c r="C517" s="22"/>
      <c r="D517" s="23"/>
      <c r="E517" s="20" t="str">
        <f aca="false">IF($A517="","",IF($C517="Borç",-$D517,$D517))</f>
        <v/>
      </c>
      <c r="F517" s="18" t="str">
        <f aca="false">IF($A517="","",IFERROR(IF(INDEX(tblOrtak[Ortak Adı],ROW($A517)-ROW(tblOrtak[[#Headers],[Tarih]])-1)=$B517,INDEX(tblOrtak[Bakiye (₺)],ROW($A517)-ROW(tblOrtak[[#Headers],[Tarih]])-1)+$E517,$E517),$E517))</f>
        <v/>
      </c>
      <c r="G517" s="19" t="str">
        <f aca="false">IF($A517="","",IFERROR(IF(INDEX(tblOrtak[Tarih],ROW($A517)-ROW(tblOrtak[[#Headers],[Tarih]])+1)=0,RaporTarihi,INDEX(tblOrtak[Tarih],ROW($A517)-ROW(tblOrtak[[#Headers],[Tarih]])+1))-$A517,RaporTarihi-$A517))</f>
        <v/>
      </c>
      <c r="H517" s="18" t="n">
        <f aca="false">IF($F517="",0,ROUND($F517*$G517,0))</f>
        <v>0</v>
      </c>
      <c r="I517" s="18" t="n">
        <f aca="false">IF($H517="",0,ROUND($H517*AdatFaizOran/AdatYilGunSayisi,2))</f>
        <v>0</v>
      </c>
      <c r="J517" s="22"/>
    </row>
    <row r="518" customFormat="false" ht="15" hidden="false" customHeight="false" outlineLevel="0" collapsed="false">
      <c r="A518" s="21"/>
      <c r="B518" s="22"/>
      <c r="C518" s="22"/>
      <c r="D518" s="23"/>
      <c r="E518" s="20" t="str">
        <f aca="false">IF($A518="","",IF($C518="Borç",-$D518,$D518))</f>
        <v/>
      </c>
      <c r="F518" s="18" t="str">
        <f aca="false">IF($A518="","",IFERROR(IF(INDEX(tblOrtak[Ortak Adı],ROW($A518)-ROW(tblOrtak[[#Headers],[Tarih]])-1)=$B518,INDEX(tblOrtak[Bakiye (₺)],ROW($A518)-ROW(tblOrtak[[#Headers],[Tarih]])-1)+$E518,$E518),$E518))</f>
        <v/>
      </c>
      <c r="G518" s="19" t="str">
        <f aca="false">IF($A518="","",IFERROR(IF(INDEX(tblOrtak[Tarih],ROW($A518)-ROW(tblOrtak[[#Headers],[Tarih]])+1)=0,RaporTarihi,INDEX(tblOrtak[Tarih],ROW($A518)-ROW(tblOrtak[[#Headers],[Tarih]])+1))-$A518,RaporTarihi-$A518))</f>
        <v/>
      </c>
      <c r="H518" s="18" t="n">
        <f aca="false">IF($F518="",0,ROUND($F518*$G518,0))</f>
        <v>0</v>
      </c>
      <c r="I518" s="18" t="n">
        <f aca="false">IF($H518="",0,ROUND($H518*AdatFaizOran/AdatYilGunSayisi,2))</f>
        <v>0</v>
      </c>
      <c r="J518" s="22"/>
    </row>
    <row r="519" customFormat="false" ht="15" hidden="false" customHeight="false" outlineLevel="0" collapsed="false">
      <c r="A519" s="21"/>
      <c r="B519" s="22"/>
      <c r="C519" s="22"/>
      <c r="D519" s="23"/>
      <c r="E519" s="20" t="str">
        <f aca="false">IF($A519="","",IF($C519="Borç",-$D519,$D519))</f>
        <v/>
      </c>
      <c r="F519" s="18" t="str">
        <f aca="false">IF($A519="","",IFERROR(IF(INDEX(tblOrtak[Ortak Adı],ROW($A519)-ROW(tblOrtak[[#Headers],[Tarih]])-1)=$B519,INDEX(tblOrtak[Bakiye (₺)],ROW($A519)-ROW(tblOrtak[[#Headers],[Tarih]])-1)+$E519,$E519),$E519))</f>
        <v/>
      </c>
      <c r="G519" s="19" t="str">
        <f aca="false">IF($A519="","",IFERROR(IF(INDEX(tblOrtak[Tarih],ROW($A519)-ROW(tblOrtak[[#Headers],[Tarih]])+1)=0,RaporTarihi,INDEX(tblOrtak[Tarih],ROW($A519)-ROW(tblOrtak[[#Headers],[Tarih]])+1))-$A519,RaporTarihi-$A519))</f>
        <v/>
      </c>
      <c r="H519" s="18" t="n">
        <f aca="false">IF($F519="",0,ROUND($F519*$G519,0))</f>
        <v>0</v>
      </c>
      <c r="I519" s="18" t="n">
        <f aca="false">IF($H519="",0,ROUND($H519*AdatFaizOran/AdatYilGunSayisi,2))</f>
        <v>0</v>
      </c>
      <c r="J519" s="22"/>
    </row>
    <row r="520" customFormat="false" ht="15" hidden="false" customHeight="false" outlineLevel="0" collapsed="false">
      <c r="A520" s="21"/>
      <c r="B520" s="22"/>
      <c r="C520" s="22"/>
      <c r="D520" s="23"/>
      <c r="E520" s="20" t="str">
        <f aca="false">IF($A520="","",IF($C520="Borç",-$D520,$D520))</f>
        <v/>
      </c>
      <c r="F520" s="18" t="str">
        <f aca="false">IF($A520="","",IFERROR(IF(INDEX(tblOrtak[Ortak Adı],ROW($A520)-ROW(tblOrtak[[#Headers],[Tarih]])-1)=$B520,INDEX(tblOrtak[Bakiye (₺)],ROW($A520)-ROW(tblOrtak[[#Headers],[Tarih]])-1)+$E520,$E520),$E520))</f>
        <v/>
      </c>
      <c r="G520" s="19" t="str">
        <f aca="false">IF($A520="","",IFERROR(IF(INDEX(tblOrtak[Tarih],ROW($A520)-ROW(tblOrtak[[#Headers],[Tarih]])+1)=0,RaporTarihi,INDEX(tblOrtak[Tarih],ROW($A520)-ROW(tblOrtak[[#Headers],[Tarih]])+1))-$A520,RaporTarihi-$A520))</f>
        <v/>
      </c>
      <c r="H520" s="18" t="n">
        <f aca="false">IF($F520="",0,ROUND($F520*$G520,0))</f>
        <v>0</v>
      </c>
      <c r="I520" s="18" t="n">
        <f aca="false">IF($H520="",0,ROUND($H520*AdatFaizOran/AdatYilGunSayisi,2))</f>
        <v>0</v>
      </c>
      <c r="J520" s="22"/>
    </row>
    <row r="521" customFormat="false" ht="15" hidden="false" customHeight="false" outlineLevel="0" collapsed="false">
      <c r="A521" s="21"/>
      <c r="B521" s="22"/>
      <c r="C521" s="22"/>
      <c r="D521" s="23"/>
      <c r="E521" s="20" t="str">
        <f aca="false">IF($A521="","",IF($C521="Borç",-$D521,$D521))</f>
        <v/>
      </c>
      <c r="F521" s="18" t="str">
        <f aca="false">IF($A521="","",IFERROR(IF(INDEX(tblOrtak[Ortak Adı],ROW($A521)-ROW(tblOrtak[[#Headers],[Tarih]])-1)=$B521,INDEX(tblOrtak[Bakiye (₺)],ROW($A521)-ROW(tblOrtak[[#Headers],[Tarih]])-1)+$E521,$E521),$E521))</f>
        <v/>
      </c>
      <c r="G521" s="19" t="str">
        <f aca="false">IF($A521="","",IFERROR(IF(INDEX(tblOrtak[Tarih],ROW($A521)-ROW(tblOrtak[[#Headers],[Tarih]])+1)=0,RaporTarihi,INDEX(tblOrtak[Tarih],ROW($A521)-ROW(tblOrtak[[#Headers],[Tarih]])+1))-$A521,RaporTarihi-$A521))</f>
        <v/>
      </c>
      <c r="H521" s="18" t="n">
        <f aca="false">IF($F521="",0,ROUND($F521*$G521,0))</f>
        <v>0</v>
      </c>
      <c r="I521" s="18" t="n">
        <f aca="false">IF($H521="",0,ROUND($H521*AdatFaizOran/AdatYilGunSayisi,2))</f>
        <v>0</v>
      </c>
      <c r="J521" s="22"/>
    </row>
    <row r="522" customFormat="false" ht="15" hidden="false" customHeight="false" outlineLevel="0" collapsed="false">
      <c r="A522" s="21"/>
      <c r="B522" s="22"/>
      <c r="C522" s="22"/>
      <c r="D522" s="23"/>
      <c r="E522" s="20" t="str">
        <f aca="false">IF($A522="","",IF($C522="Borç",-$D522,$D522))</f>
        <v/>
      </c>
      <c r="F522" s="18" t="str">
        <f aca="false">IF($A522="","",IFERROR(IF(INDEX(tblOrtak[Ortak Adı],ROW($A522)-ROW(tblOrtak[[#Headers],[Tarih]])-1)=$B522,INDEX(tblOrtak[Bakiye (₺)],ROW($A522)-ROW(tblOrtak[[#Headers],[Tarih]])-1)+$E522,$E522),$E522))</f>
        <v/>
      </c>
      <c r="G522" s="19" t="str">
        <f aca="false">IF($A522="","",IFERROR(IF(INDEX(tblOrtak[Tarih],ROW($A522)-ROW(tblOrtak[[#Headers],[Tarih]])+1)=0,RaporTarihi,INDEX(tblOrtak[Tarih],ROW($A522)-ROW(tblOrtak[[#Headers],[Tarih]])+1))-$A522,RaporTarihi-$A522))</f>
        <v/>
      </c>
      <c r="H522" s="18" t="n">
        <f aca="false">IF($F522="",0,ROUND($F522*$G522,0))</f>
        <v>0</v>
      </c>
      <c r="I522" s="18" t="n">
        <f aca="false">IF($H522="",0,ROUND($H522*AdatFaizOran/AdatYilGunSayisi,2))</f>
        <v>0</v>
      </c>
      <c r="J522" s="22"/>
    </row>
    <row r="523" customFormat="false" ht="15" hidden="false" customHeight="false" outlineLevel="0" collapsed="false">
      <c r="A523" s="21"/>
      <c r="B523" s="22"/>
      <c r="C523" s="22"/>
      <c r="D523" s="23"/>
      <c r="E523" s="20" t="str">
        <f aca="false">IF($A523="","",IF($C523="Borç",-$D523,$D523))</f>
        <v/>
      </c>
      <c r="F523" s="18" t="str">
        <f aca="false">IF($A523="","",IFERROR(IF(INDEX(tblOrtak[Ortak Adı],ROW($A523)-ROW(tblOrtak[[#Headers],[Tarih]])-1)=$B523,INDEX(tblOrtak[Bakiye (₺)],ROW($A523)-ROW(tblOrtak[[#Headers],[Tarih]])-1)+$E523,$E523),$E523))</f>
        <v/>
      </c>
      <c r="G523" s="19" t="str">
        <f aca="false">IF($A523="","",IFERROR(IF(INDEX(tblOrtak[Tarih],ROW($A523)-ROW(tblOrtak[[#Headers],[Tarih]])+1)=0,RaporTarihi,INDEX(tblOrtak[Tarih],ROW($A523)-ROW(tblOrtak[[#Headers],[Tarih]])+1))-$A523,RaporTarihi-$A523))</f>
        <v/>
      </c>
      <c r="H523" s="18" t="n">
        <f aca="false">IF($F523="",0,ROUND($F523*$G523,0))</f>
        <v>0</v>
      </c>
      <c r="I523" s="18" t="n">
        <f aca="false">IF($H523="",0,ROUND($H523*AdatFaizOran/AdatYilGunSayisi,2))</f>
        <v>0</v>
      </c>
      <c r="J523" s="22"/>
    </row>
    <row r="524" customFormat="false" ht="15" hidden="false" customHeight="false" outlineLevel="0" collapsed="false">
      <c r="A524" s="21"/>
      <c r="B524" s="22"/>
      <c r="C524" s="22"/>
      <c r="D524" s="23"/>
      <c r="E524" s="20" t="str">
        <f aca="false">IF($A524="","",IF($C524="Borç",-$D524,$D524))</f>
        <v/>
      </c>
      <c r="F524" s="18" t="str">
        <f aca="false">IF($A524="","",IFERROR(IF(INDEX(tblOrtak[Ortak Adı],ROW($A524)-ROW(tblOrtak[[#Headers],[Tarih]])-1)=$B524,INDEX(tblOrtak[Bakiye (₺)],ROW($A524)-ROW(tblOrtak[[#Headers],[Tarih]])-1)+$E524,$E524),$E524))</f>
        <v/>
      </c>
      <c r="G524" s="19" t="str">
        <f aca="false">IF($A524="","",IFERROR(IF(INDEX(tblOrtak[Tarih],ROW($A524)-ROW(tblOrtak[[#Headers],[Tarih]])+1)=0,RaporTarihi,INDEX(tblOrtak[Tarih],ROW($A524)-ROW(tblOrtak[[#Headers],[Tarih]])+1))-$A524,RaporTarihi-$A524))</f>
        <v/>
      </c>
      <c r="H524" s="18" t="n">
        <f aca="false">IF($F524="",0,ROUND($F524*$G524,0))</f>
        <v>0</v>
      </c>
      <c r="I524" s="18" t="n">
        <f aca="false">IF($H524="",0,ROUND($H524*AdatFaizOran/AdatYilGunSayisi,2))</f>
        <v>0</v>
      </c>
      <c r="J524" s="22"/>
    </row>
    <row r="525" customFormat="false" ht="15" hidden="false" customHeight="false" outlineLevel="0" collapsed="false">
      <c r="A525" s="21"/>
      <c r="B525" s="22"/>
      <c r="C525" s="22"/>
      <c r="D525" s="23"/>
      <c r="E525" s="20" t="str">
        <f aca="false">IF($A525="","",IF($C525="Borç",-$D525,$D525))</f>
        <v/>
      </c>
      <c r="F525" s="18" t="str">
        <f aca="false">IF($A525="","",IFERROR(IF(INDEX(tblOrtak[Ortak Adı],ROW($A525)-ROW(tblOrtak[[#Headers],[Tarih]])-1)=$B525,INDEX(tblOrtak[Bakiye (₺)],ROW($A525)-ROW(tblOrtak[[#Headers],[Tarih]])-1)+$E525,$E525),$E525))</f>
        <v/>
      </c>
      <c r="G525" s="19" t="str">
        <f aca="false">IF($A525="","",IFERROR(IF(INDEX(tblOrtak[Tarih],ROW($A525)-ROW(tblOrtak[[#Headers],[Tarih]])+1)=0,RaporTarihi,INDEX(tblOrtak[Tarih],ROW($A525)-ROW(tblOrtak[[#Headers],[Tarih]])+1))-$A525,RaporTarihi-$A525))</f>
        <v/>
      </c>
      <c r="H525" s="18" t="n">
        <f aca="false">IF($F525="",0,ROUND($F525*$G525,0))</f>
        <v>0</v>
      </c>
      <c r="I525" s="18" t="n">
        <f aca="false">IF($H525="",0,ROUND($H525*AdatFaizOran/AdatYilGunSayisi,2))</f>
        <v>0</v>
      </c>
      <c r="J525" s="22"/>
    </row>
    <row r="526" customFormat="false" ht="15" hidden="false" customHeight="false" outlineLevel="0" collapsed="false">
      <c r="A526" s="21"/>
      <c r="B526" s="22"/>
      <c r="C526" s="22"/>
      <c r="D526" s="23"/>
      <c r="E526" s="20" t="str">
        <f aca="false">IF($A526="","",IF($C526="Borç",-$D526,$D526))</f>
        <v/>
      </c>
      <c r="F526" s="18" t="str">
        <f aca="false">IF($A526="","",IFERROR(IF(INDEX(tblOrtak[Ortak Adı],ROW($A526)-ROW(tblOrtak[[#Headers],[Tarih]])-1)=$B526,INDEX(tblOrtak[Bakiye (₺)],ROW($A526)-ROW(tblOrtak[[#Headers],[Tarih]])-1)+$E526,$E526),$E526))</f>
        <v/>
      </c>
      <c r="G526" s="19" t="str">
        <f aca="false">IF($A526="","",IFERROR(IF(INDEX(tblOrtak[Tarih],ROW($A526)-ROW(tblOrtak[[#Headers],[Tarih]])+1)=0,RaporTarihi,INDEX(tblOrtak[Tarih],ROW($A526)-ROW(tblOrtak[[#Headers],[Tarih]])+1))-$A526,RaporTarihi-$A526))</f>
        <v/>
      </c>
      <c r="H526" s="18" t="n">
        <f aca="false">IF($F526="",0,ROUND($F526*$G526,0))</f>
        <v>0</v>
      </c>
      <c r="I526" s="18" t="n">
        <f aca="false">IF($H526="",0,ROUND($H526*AdatFaizOran/AdatYilGunSayisi,2))</f>
        <v>0</v>
      </c>
      <c r="J526" s="22"/>
    </row>
    <row r="527" customFormat="false" ht="15" hidden="false" customHeight="false" outlineLevel="0" collapsed="false">
      <c r="A527" s="21"/>
      <c r="B527" s="22"/>
      <c r="C527" s="22"/>
      <c r="D527" s="23"/>
      <c r="E527" s="20" t="str">
        <f aca="false">IF($A527="","",IF($C527="Borç",-$D527,$D527))</f>
        <v/>
      </c>
      <c r="F527" s="18" t="str">
        <f aca="false">IF($A527="","",IFERROR(IF(INDEX(tblOrtak[Ortak Adı],ROW($A527)-ROW(tblOrtak[[#Headers],[Tarih]])-1)=$B527,INDEX(tblOrtak[Bakiye (₺)],ROW($A527)-ROW(tblOrtak[[#Headers],[Tarih]])-1)+$E527,$E527),$E527))</f>
        <v/>
      </c>
      <c r="G527" s="19" t="str">
        <f aca="false">IF($A527="","",IFERROR(IF(INDEX(tblOrtak[Tarih],ROW($A527)-ROW(tblOrtak[[#Headers],[Tarih]])+1)=0,RaporTarihi,INDEX(tblOrtak[Tarih],ROW($A527)-ROW(tblOrtak[[#Headers],[Tarih]])+1))-$A527,RaporTarihi-$A527))</f>
        <v/>
      </c>
      <c r="H527" s="18" t="n">
        <f aca="false">IF($F527="",0,ROUND($F527*$G527,0))</f>
        <v>0</v>
      </c>
      <c r="I527" s="18" t="n">
        <f aca="false">IF($H527="",0,ROUND($H527*AdatFaizOran/AdatYilGunSayisi,2))</f>
        <v>0</v>
      </c>
      <c r="J527" s="22"/>
    </row>
    <row r="528" customFormat="false" ht="15" hidden="false" customHeight="false" outlineLevel="0" collapsed="false">
      <c r="A528" s="21"/>
      <c r="B528" s="22"/>
      <c r="C528" s="22"/>
      <c r="D528" s="23"/>
      <c r="E528" s="20" t="str">
        <f aca="false">IF($A528="","",IF($C528="Borç",-$D528,$D528))</f>
        <v/>
      </c>
      <c r="F528" s="18" t="str">
        <f aca="false">IF($A528="","",IFERROR(IF(INDEX(tblOrtak[Ortak Adı],ROW($A528)-ROW(tblOrtak[[#Headers],[Tarih]])-1)=$B528,INDEX(tblOrtak[Bakiye (₺)],ROW($A528)-ROW(tblOrtak[[#Headers],[Tarih]])-1)+$E528,$E528),$E528))</f>
        <v/>
      </c>
      <c r="G528" s="19" t="str">
        <f aca="false">IF($A528="","",IFERROR(IF(INDEX(tblOrtak[Tarih],ROW($A528)-ROW(tblOrtak[[#Headers],[Tarih]])+1)=0,RaporTarihi,INDEX(tblOrtak[Tarih],ROW($A528)-ROW(tblOrtak[[#Headers],[Tarih]])+1))-$A528,RaporTarihi-$A528))</f>
        <v/>
      </c>
      <c r="H528" s="18" t="n">
        <f aca="false">IF($F528="",0,ROUND($F528*$G528,0))</f>
        <v>0</v>
      </c>
      <c r="I528" s="18" t="n">
        <f aca="false">IF($H528="",0,ROUND($H528*AdatFaizOran/AdatYilGunSayisi,2))</f>
        <v>0</v>
      </c>
      <c r="J528" s="22"/>
    </row>
    <row r="529" customFormat="false" ht="15" hidden="false" customHeight="false" outlineLevel="0" collapsed="false">
      <c r="A529" s="21"/>
      <c r="B529" s="22"/>
      <c r="C529" s="22"/>
      <c r="D529" s="23"/>
      <c r="E529" s="20" t="str">
        <f aca="false">IF($A529="","",IF($C529="Borç",-$D529,$D529))</f>
        <v/>
      </c>
      <c r="F529" s="18" t="str">
        <f aca="false">IF($A529="","",IFERROR(IF(INDEX(tblOrtak[Ortak Adı],ROW($A529)-ROW(tblOrtak[[#Headers],[Tarih]])-1)=$B529,INDEX(tblOrtak[Bakiye (₺)],ROW($A529)-ROW(tblOrtak[[#Headers],[Tarih]])-1)+$E529,$E529),$E529))</f>
        <v/>
      </c>
      <c r="G529" s="19" t="str">
        <f aca="false">IF($A529="","",IFERROR(IF(INDEX(tblOrtak[Tarih],ROW($A529)-ROW(tblOrtak[[#Headers],[Tarih]])+1)=0,RaporTarihi,INDEX(tblOrtak[Tarih],ROW($A529)-ROW(tblOrtak[[#Headers],[Tarih]])+1))-$A529,RaporTarihi-$A529))</f>
        <v/>
      </c>
      <c r="H529" s="18" t="n">
        <f aca="false">IF($F529="",0,ROUND($F529*$G529,0))</f>
        <v>0</v>
      </c>
      <c r="I529" s="18" t="n">
        <f aca="false">IF($H529="",0,ROUND($H529*AdatFaizOran/AdatYilGunSayisi,2))</f>
        <v>0</v>
      </c>
      <c r="J529" s="22"/>
    </row>
    <row r="530" customFormat="false" ht="15" hidden="false" customHeight="false" outlineLevel="0" collapsed="false">
      <c r="A530" s="21"/>
      <c r="B530" s="22"/>
      <c r="C530" s="22"/>
      <c r="D530" s="23"/>
      <c r="E530" s="20" t="str">
        <f aca="false">IF($A530="","",IF($C530="Borç",-$D530,$D530))</f>
        <v/>
      </c>
      <c r="F530" s="18" t="str">
        <f aca="false">IF($A530="","",IFERROR(IF(INDEX(tblOrtak[Ortak Adı],ROW($A530)-ROW(tblOrtak[[#Headers],[Tarih]])-1)=$B530,INDEX(tblOrtak[Bakiye (₺)],ROW($A530)-ROW(tblOrtak[[#Headers],[Tarih]])-1)+$E530,$E530),$E530))</f>
        <v/>
      </c>
      <c r="G530" s="19" t="str">
        <f aca="false">IF($A530="","",IFERROR(IF(INDEX(tblOrtak[Tarih],ROW($A530)-ROW(tblOrtak[[#Headers],[Tarih]])+1)=0,RaporTarihi,INDEX(tblOrtak[Tarih],ROW($A530)-ROW(tblOrtak[[#Headers],[Tarih]])+1))-$A530,RaporTarihi-$A530))</f>
        <v/>
      </c>
      <c r="H530" s="18" t="n">
        <f aca="false">IF($F530="",0,ROUND($F530*$G530,0))</f>
        <v>0</v>
      </c>
      <c r="I530" s="18" t="n">
        <f aca="false">IF($H530="",0,ROUND($H530*AdatFaizOran/AdatYilGunSayisi,2))</f>
        <v>0</v>
      </c>
      <c r="J530" s="22"/>
    </row>
    <row r="531" customFormat="false" ht="15" hidden="false" customHeight="false" outlineLevel="0" collapsed="false">
      <c r="A531" s="21"/>
      <c r="B531" s="22"/>
      <c r="C531" s="22"/>
      <c r="D531" s="23"/>
      <c r="E531" s="20" t="str">
        <f aca="false">IF($A531="","",IF($C531="Borç",-$D531,$D531))</f>
        <v/>
      </c>
      <c r="F531" s="18" t="str">
        <f aca="false">IF($A531="","",IFERROR(IF(INDEX(tblOrtak[Ortak Adı],ROW($A531)-ROW(tblOrtak[[#Headers],[Tarih]])-1)=$B531,INDEX(tblOrtak[Bakiye (₺)],ROW($A531)-ROW(tblOrtak[[#Headers],[Tarih]])-1)+$E531,$E531),$E531))</f>
        <v/>
      </c>
      <c r="G531" s="19" t="str">
        <f aca="false">IF($A531="","",IFERROR(IF(INDEX(tblOrtak[Tarih],ROW($A531)-ROW(tblOrtak[[#Headers],[Tarih]])+1)=0,RaporTarihi,INDEX(tblOrtak[Tarih],ROW($A531)-ROW(tblOrtak[[#Headers],[Tarih]])+1))-$A531,RaporTarihi-$A531))</f>
        <v/>
      </c>
      <c r="H531" s="18" t="n">
        <f aca="false">IF($F531="",0,ROUND($F531*$G531,0))</f>
        <v>0</v>
      </c>
      <c r="I531" s="18" t="n">
        <f aca="false">IF($H531="",0,ROUND($H531*AdatFaizOran/AdatYilGunSayisi,2))</f>
        <v>0</v>
      </c>
      <c r="J531" s="22"/>
    </row>
    <row r="532" customFormat="false" ht="15" hidden="false" customHeight="false" outlineLevel="0" collapsed="false">
      <c r="A532" s="21"/>
      <c r="B532" s="22"/>
      <c r="C532" s="22"/>
      <c r="D532" s="23"/>
      <c r="E532" s="20" t="str">
        <f aca="false">IF($A532="","",IF($C532="Borç",-$D532,$D532))</f>
        <v/>
      </c>
      <c r="F532" s="18" t="str">
        <f aca="false">IF($A532="","",IFERROR(IF(INDEX(tblOrtak[Ortak Adı],ROW($A532)-ROW(tblOrtak[[#Headers],[Tarih]])-1)=$B532,INDEX(tblOrtak[Bakiye (₺)],ROW($A532)-ROW(tblOrtak[[#Headers],[Tarih]])-1)+$E532,$E532),$E532))</f>
        <v/>
      </c>
      <c r="G532" s="19" t="str">
        <f aca="false">IF($A532="","",IFERROR(IF(INDEX(tblOrtak[Tarih],ROW($A532)-ROW(tblOrtak[[#Headers],[Tarih]])+1)=0,RaporTarihi,INDEX(tblOrtak[Tarih],ROW($A532)-ROW(tblOrtak[[#Headers],[Tarih]])+1))-$A532,RaporTarihi-$A532))</f>
        <v/>
      </c>
      <c r="H532" s="18" t="n">
        <f aca="false">IF($F532="",0,ROUND($F532*$G532,0))</f>
        <v>0</v>
      </c>
      <c r="I532" s="18" t="n">
        <f aca="false">IF($H532="",0,ROUND($H532*AdatFaizOran/AdatYilGunSayisi,2))</f>
        <v>0</v>
      </c>
      <c r="J532" s="22"/>
    </row>
    <row r="533" customFormat="false" ht="15" hidden="false" customHeight="false" outlineLevel="0" collapsed="false">
      <c r="A533" s="21"/>
      <c r="B533" s="22"/>
      <c r="C533" s="22"/>
      <c r="D533" s="23"/>
      <c r="E533" s="20" t="str">
        <f aca="false">IF($A533="","",IF($C533="Borç",-$D533,$D533))</f>
        <v/>
      </c>
      <c r="F533" s="18" t="str">
        <f aca="false">IF($A533="","",IFERROR(IF(INDEX(tblOrtak[Ortak Adı],ROW($A533)-ROW(tblOrtak[[#Headers],[Tarih]])-1)=$B533,INDEX(tblOrtak[Bakiye (₺)],ROW($A533)-ROW(tblOrtak[[#Headers],[Tarih]])-1)+$E533,$E533),$E533))</f>
        <v/>
      </c>
      <c r="G533" s="19" t="str">
        <f aca="false">IF($A533="","",IFERROR(IF(INDEX(tblOrtak[Tarih],ROW($A533)-ROW(tblOrtak[[#Headers],[Tarih]])+1)=0,RaporTarihi,INDEX(tblOrtak[Tarih],ROW($A533)-ROW(tblOrtak[[#Headers],[Tarih]])+1))-$A533,RaporTarihi-$A533))</f>
        <v/>
      </c>
      <c r="H533" s="18" t="n">
        <f aca="false">IF($F533="",0,ROUND($F533*$G533,0))</f>
        <v>0</v>
      </c>
      <c r="I533" s="18" t="n">
        <f aca="false">IF($H533="",0,ROUND($H533*AdatFaizOran/AdatYilGunSayisi,2))</f>
        <v>0</v>
      </c>
      <c r="J533" s="22"/>
    </row>
    <row r="534" customFormat="false" ht="15" hidden="false" customHeight="false" outlineLevel="0" collapsed="false">
      <c r="A534" s="21"/>
      <c r="B534" s="22"/>
      <c r="C534" s="22"/>
      <c r="D534" s="23"/>
      <c r="E534" s="20" t="str">
        <f aca="false">IF($A534="","",IF($C534="Borç",-$D534,$D534))</f>
        <v/>
      </c>
      <c r="F534" s="18" t="str">
        <f aca="false">IF($A534="","",IFERROR(IF(INDEX(tblOrtak[Ortak Adı],ROW($A534)-ROW(tblOrtak[[#Headers],[Tarih]])-1)=$B534,INDEX(tblOrtak[Bakiye (₺)],ROW($A534)-ROW(tblOrtak[[#Headers],[Tarih]])-1)+$E534,$E534),$E534))</f>
        <v/>
      </c>
      <c r="G534" s="19" t="str">
        <f aca="false">IF($A534="","",IFERROR(IF(INDEX(tblOrtak[Tarih],ROW($A534)-ROW(tblOrtak[[#Headers],[Tarih]])+1)=0,RaporTarihi,INDEX(tblOrtak[Tarih],ROW($A534)-ROW(tblOrtak[[#Headers],[Tarih]])+1))-$A534,RaporTarihi-$A534))</f>
        <v/>
      </c>
      <c r="H534" s="18" t="n">
        <f aca="false">IF($F534="",0,ROUND($F534*$G534,0))</f>
        <v>0</v>
      </c>
      <c r="I534" s="18" t="n">
        <f aca="false">IF($H534="",0,ROUND($H534*AdatFaizOran/AdatYilGunSayisi,2))</f>
        <v>0</v>
      </c>
      <c r="J534" s="22"/>
    </row>
    <row r="535" customFormat="false" ht="15" hidden="false" customHeight="false" outlineLevel="0" collapsed="false">
      <c r="A535" s="21"/>
      <c r="B535" s="22"/>
      <c r="C535" s="22"/>
      <c r="D535" s="23"/>
      <c r="E535" s="20" t="str">
        <f aca="false">IF($A535="","",IF($C535="Borç",-$D535,$D535))</f>
        <v/>
      </c>
      <c r="F535" s="18" t="str">
        <f aca="false">IF($A535="","",IFERROR(IF(INDEX(tblOrtak[Ortak Adı],ROW($A535)-ROW(tblOrtak[[#Headers],[Tarih]])-1)=$B535,INDEX(tblOrtak[Bakiye (₺)],ROW($A535)-ROW(tblOrtak[[#Headers],[Tarih]])-1)+$E535,$E535),$E535))</f>
        <v/>
      </c>
      <c r="G535" s="19" t="str">
        <f aca="false">IF($A535="","",IFERROR(IF(INDEX(tblOrtak[Tarih],ROW($A535)-ROW(tblOrtak[[#Headers],[Tarih]])+1)=0,RaporTarihi,INDEX(tblOrtak[Tarih],ROW($A535)-ROW(tblOrtak[[#Headers],[Tarih]])+1))-$A535,RaporTarihi-$A535))</f>
        <v/>
      </c>
      <c r="H535" s="18" t="n">
        <f aca="false">IF($F535="",0,ROUND($F535*$G535,0))</f>
        <v>0</v>
      </c>
      <c r="I535" s="18" t="n">
        <f aca="false">IF($H535="",0,ROUND($H535*AdatFaizOran/AdatYilGunSayisi,2))</f>
        <v>0</v>
      </c>
      <c r="J535" s="22"/>
    </row>
    <row r="536" customFormat="false" ht="15" hidden="false" customHeight="false" outlineLevel="0" collapsed="false">
      <c r="A536" s="21"/>
      <c r="B536" s="22"/>
      <c r="C536" s="22"/>
      <c r="D536" s="23"/>
      <c r="E536" s="20" t="str">
        <f aca="false">IF($A536="","",IF($C536="Borç",-$D536,$D536))</f>
        <v/>
      </c>
      <c r="F536" s="18" t="str">
        <f aca="false">IF($A536="","",IFERROR(IF(INDEX(tblOrtak[Ortak Adı],ROW($A536)-ROW(tblOrtak[[#Headers],[Tarih]])-1)=$B536,INDEX(tblOrtak[Bakiye (₺)],ROW($A536)-ROW(tblOrtak[[#Headers],[Tarih]])-1)+$E536,$E536),$E536))</f>
        <v/>
      </c>
      <c r="G536" s="19" t="str">
        <f aca="false">IF($A536="","",IFERROR(IF(INDEX(tblOrtak[Tarih],ROW($A536)-ROW(tblOrtak[[#Headers],[Tarih]])+1)=0,RaporTarihi,INDEX(tblOrtak[Tarih],ROW($A536)-ROW(tblOrtak[[#Headers],[Tarih]])+1))-$A536,RaporTarihi-$A536))</f>
        <v/>
      </c>
      <c r="H536" s="18" t="n">
        <f aca="false">IF($F536="",0,ROUND($F536*$G536,0))</f>
        <v>0</v>
      </c>
      <c r="I536" s="18" t="n">
        <f aca="false">IF($H536="",0,ROUND($H536*AdatFaizOran/AdatYilGunSayisi,2))</f>
        <v>0</v>
      </c>
      <c r="J536" s="22"/>
    </row>
    <row r="537" customFormat="false" ht="15" hidden="false" customHeight="false" outlineLevel="0" collapsed="false">
      <c r="A537" s="21"/>
      <c r="B537" s="22"/>
      <c r="C537" s="22"/>
      <c r="D537" s="23"/>
      <c r="E537" s="20" t="str">
        <f aca="false">IF($A537="","",IF($C537="Borç",-$D537,$D537))</f>
        <v/>
      </c>
      <c r="F537" s="18" t="str">
        <f aca="false">IF($A537="","",IFERROR(IF(INDEX(tblOrtak[Ortak Adı],ROW($A537)-ROW(tblOrtak[[#Headers],[Tarih]])-1)=$B537,INDEX(tblOrtak[Bakiye (₺)],ROW($A537)-ROW(tblOrtak[[#Headers],[Tarih]])-1)+$E537,$E537),$E537))</f>
        <v/>
      </c>
      <c r="G537" s="19" t="str">
        <f aca="false">IF($A537="","",IFERROR(IF(INDEX(tblOrtak[Tarih],ROW($A537)-ROW(tblOrtak[[#Headers],[Tarih]])+1)=0,RaporTarihi,INDEX(tblOrtak[Tarih],ROW($A537)-ROW(tblOrtak[[#Headers],[Tarih]])+1))-$A537,RaporTarihi-$A537))</f>
        <v/>
      </c>
      <c r="H537" s="18" t="n">
        <f aca="false">IF($F537="",0,ROUND($F537*$G537,0))</f>
        <v>0</v>
      </c>
      <c r="I537" s="18" t="n">
        <f aca="false">IF($H537="",0,ROUND($H537*AdatFaizOran/AdatYilGunSayisi,2))</f>
        <v>0</v>
      </c>
      <c r="J537" s="22"/>
    </row>
    <row r="538" customFormat="false" ht="15" hidden="false" customHeight="false" outlineLevel="0" collapsed="false">
      <c r="A538" s="21"/>
      <c r="B538" s="22"/>
      <c r="C538" s="22"/>
      <c r="D538" s="23"/>
      <c r="E538" s="20" t="str">
        <f aca="false">IF($A538="","",IF($C538="Borç",-$D538,$D538))</f>
        <v/>
      </c>
      <c r="F538" s="18" t="str">
        <f aca="false">IF($A538="","",IFERROR(IF(INDEX(tblOrtak[Ortak Adı],ROW($A538)-ROW(tblOrtak[[#Headers],[Tarih]])-1)=$B538,INDEX(tblOrtak[Bakiye (₺)],ROW($A538)-ROW(tblOrtak[[#Headers],[Tarih]])-1)+$E538,$E538),$E538))</f>
        <v/>
      </c>
      <c r="G538" s="19" t="str">
        <f aca="false">IF($A538="","",IFERROR(IF(INDEX(tblOrtak[Tarih],ROW($A538)-ROW(tblOrtak[[#Headers],[Tarih]])+1)=0,RaporTarihi,INDEX(tblOrtak[Tarih],ROW($A538)-ROW(tblOrtak[[#Headers],[Tarih]])+1))-$A538,RaporTarihi-$A538))</f>
        <v/>
      </c>
      <c r="H538" s="18" t="n">
        <f aca="false">IF($F538="",0,ROUND($F538*$G538,0))</f>
        <v>0</v>
      </c>
      <c r="I538" s="18" t="n">
        <f aca="false">IF($H538="",0,ROUND($H538*AdatFaizOran/AdatYilGunSayisi,2))</f>
        <v>0</v>
      </c>
      <c r="J538" s="22"/>
    </row>
    <row r="539" customFormat="false" ht="15" hidden="false" customHeight="false" outlineLevel="0" collapsed="false">
      <c r="A539" s="21"/>
      <c r="B539" s="22"/>
      <c r="C539" s="22"/>
      <c r="D539" s="23"/>
      <c r="E539" s="20" t="str">
        <f aca="false">IF($A539="","",IF($C539="Borç",-$D539,$D539))</f>
        <v/>
      </c>
      <c r="F539" s="18" t="str">
        <f aca="false">IF($A539="","",IFERROR(IF(INDEX(tblOrtak[Ortak Adı],ROW($A539)-ROW(tblOrtak[[#Headers],[Tarih]])-1)=$B539,INDEX(tblOrtak[Bakiye (₺)],ROW($A539)-ROW(tblOrtak[[#Headers],[Tarih]])-1)+$E539,$E539),$E539))</f>
        <v/>
      </c>
      <c r="G539" s="19" t="str">
        <f aca="false">IF($A539="","",IFERROR(IF(INDEX(tblOrtak[Tarih],ROW($A539)-ROW(tblOrtak[[#Headers],[Tarih]])+1)=0,RaporTarihi,INDEX(tblOrtak[Tarih],ROW($A539)-ROW(tblOrtak[[#Headers],[Tarih]])+1))-$A539,RaporTarihi-$A539))</f>
        <v/>
      </c>
      <c r="H539" s="18" t="n">
        <f aca="false">IF($F539="",0,ROUND($F539*$G539,0))</f>
        <v>0</v>
      </c>
      <c r="I539" s="18" t="n">
        <f aca="false">IF($H539="",0,ROUND($H539*AdatFaizOran/AdatYilGunSayisi,2))</f>
        <v>0</v>
      </c>
      <c r="J539" s="22"/>
    </row>
    <row r="540" customFormat="false" ht="15" hidden="false" customHeight="false" outlineLevel="0" collapsed="false">
      <c r="A540" s="21"/>
      <c r="B540" s="22"/>
      <c r="C540" s="22"/>
      <c r="D540" s="23"/>
      <c r="E540" s="20" t="str">
        <f aca="false">IF($A540="","",IF($C540="Borç",-$D540,$D540))</f>
        <v/>
      </c>
      <c r="F540" s="18" t="str">
        <f aca="false">IF($A540="","",IFERROR(IF(INDEX(tblOrtak[Ortak Adı],ROW($A540)-ROW(tblOrtak[[#Headers],[Tarih]])-1)=$B540,INDEX(tblOrtak[Bakiye (₺)],ROW($A540)-ROW(tblOrtak[[#Headers],[Tarih]])-1)+$E540,$E540),$E540))</f>
        <v/>
      </c>
      <c r="G540" s="19" t="str">
        <f aca="false">IF($A540="","",IFERROR(IF(INDEX(tblOrtak[Tarih],ROW($A540)-ROW(tblOrtak[[#Headers],[Tarih]])+1)=0,RaporTarihi,INDEX(tblOrtak[Tarih],ROW($A540)-ROW(tblOrtak[[#Headers],[Tarih]])+1))-$A540,RaporTarihi-$A540))</f>
        <v/>
      </c>
      <c r="H540" s="18" t="n">
        <f aca="false">IF($F540="",0,ROUND($F540*$G540,0))</f>
        <v>0</v>
      </c>
      <c r="I540" s="18" t="n">
        <f aca="false">IF($H540="",0,ROUND($H540*AdatFaizOran/AdatYilGunSayisi,2))</f>
        <v>0</v>
      </c>
      <c r="J540" s="22"/>
    </row>
    <row r="541" customFormat="false" ht="15" hidden="false" customHeight="false" outlineLevel="0" collapsed="false">
      <c r="A541" s="21"/>
      <c r="B541" s="22"/>
      <c r="C541" s="22"/>
      <c r="D541" s="23"/>
      <c r="E541" s="20" t="str">
        <f aca="false">IF($A541="","",IF($C541="Borç",-$D541,$D541))</f>
        <v/>
      </c>
      <c r="F541" s="18" t="str">
        <f aca="false">IF($A541="","",IFERROR(IF(INDEX(tblOrtak[Ortak Adı],ROW($A541)-ROW(tblOrtak[[#Headers],[Tarih]])-1)=$B541,INDEX(tblOrtak[Bakiye (₺)],ROW($A541)-ROW(tblOrtak[[#Headers],[Tarih]])-1)+$E541,$E541),$E541))</f>
        <v/>
      </c>
      <c r="G541" s="19" t="str">
        <f aca="false">IF($A541="","",IFERROR(IF(INDEX(tblOrtak[Tarih],ROW($A541)-ROW(tblOrtak[[#Headers],[Tarih]])+1)=0,RaporTarihi,INDEX(tblOrtak[Tarih],ROW($A541)-ROW(tblOrtak[[#Headers],[Tarih]])+1))-$A541,RaporTarihi-$A541))</f>
        <v/>
      </c>
      <c r="H541" s="18" t="n">
        <f aca="false">IF($F541="",0,ROUND($F541*$G541,0))</f>
        <v>0</v>
      </c>
      <c r="I541" s="18" t="n">
        <f aca="false">IF($H541="",0,ROUND($H541*AdatFaizOran/AdatYilGunSayisi,2))</f>
        <v>0</v>
      </c>
      <c r="J541" s="22"/>
    </row>
    <row r="542" customFormat="false" ht="15" hidden="false" customHeight="false" outlineLevel="0" collapsed="false">
      <c r="A542" s="21"/>
      <c r="B542" s="22"/>
      <c r="C542" s="22"/>
      <c r="D542" s="23"/>
      <c r="E542" s="20" t="str">
        <f aca="false">IF($A542="","",IF($C542="Borç",-$D542,$D542))</f>
        <v/>
      </c>
      <c r="F542" s="18" t="str">
        <f aca="false">IF($A542="","",IFERROR(IF(INDEX(tblOrtak[Ortak Adı],ROW($A542)-ROW(tblOrtak[[#Headers],[Tarih]])-1)=$B542,INDEX(tblOrtak[Bakiye (₺)],ROW($A542)-ROW(tblOrtak[[#Headers],[Tarih]])-1)+$E542,$E542),$E542))</f>
        <v/>
      </c>
      <c r="G542" s="19" t="str">
        <f aca="false">IF($A542="","",IFERROR(IF(INDEX(tblOrtak[Tarih],ROW($A542)-ROW(tblOrtak[[#Headers],[Tarih]])+1)=0,RaporTarihi,INDEX(tblOrtak[Tarih],ROW($A542)-ROW(tblOrtak[[#Headers],[Tarih]])+1))-$A542,RaporTarihi-$A542))</f>
        <v/>
      </c>
      <c r="H542" s="18" t="n">
        <f aca="false">IF($F542="",0,ROUND($F542*$G542,0))</f>
        <v>0</v>
      </c>
      <c r="I542" s="18" t="n">
        <f aca="false">IF($H542="",0,ROUND($H542*AdatFaizOran/AdatYilGunSayisi,2))</f>
        <v>0</v>
      </c>
      <c r="J542" s="22"/>
    </row>
    <row r="543" customFormat="false" ht="15" hidden="false" customHeight="false" outlineLevel="0" collapsed="false">
      <c r="A543" s="21"/>
      <c r="B543" s="22"/>
      <c r="C543" s="22"/>
      <c r="D543" s="23"/>
      <c r="E543" s="20" t="str">
        <f aca="false">IF($A543="","",IF($C543="Borç",-$D543,$D543))</f>
        <v/>
      </c>
      <c r="F543" s="18" t="str">
        <f aca="false">IF($A543="","",IFERROR(IF(INDEX(tblOrtak[Ortak Adı],ROW($A543)-ROW(tblOrtak[[#Headers],[Tarih]])-1)=$B543,INDEX(tblOrtak[Bakiye (₺)],ROW($A543)-ROW(tblOrtak[[#Headers],[Tarih]])-1)+$E543,$E543),$E543))</f>
        <v/>
      </c>
      <c r="G543" s="19" t="str">
        <f aca="false">IF($A543="","",IFERROR(IF(INDEX(tblOrtak[Tarih],ROW($A543)-ROW(tblOrtak[[#Headers],[Tarih]])+1)=0,RaporTarihi,INDEX(tblOrtak[Tarih],ROW($A543)-ROW(tblOrtak[[#Headers],[Tarih]])+1))-$A543,RaporTarihi-$A543))</f>
        <v/>
      </c>
      <c r="H543" s="18" t="n">
        <f aca="false">IF($F543="",0,ROUND($F543*$G543,0))</f>
        <v>0</v>
      </c>
      <c r="I543" s="18" t="n">
        <f aca="false">IF($H543="",0,ROUND($H543*AdatFaizOran/AdatYilGunSayisi,2))</f>
        <v>0</v>
      </c>
      <c r="J543" s="22"/>
    </row>
    <row r="544" customFormat="false" ht="15" hidden="false" customHeight="false" outlineLevel="0" collapsed="false">
      <c r="A544" s="21"/>
      <c r="B544" s="22"/>
      <c r="C544" s="22"/>
      <c r="D544" s="23"/>
      <c r="E544" s="20" t="str">
        <f aca="false">IF($A544="","",IF($C544="Borç",-$D544,$D544))</f>
        <v/>
      </c>
      <c r="F544" s="18" t="str">
        <f aca="false">IF($A544="","",IFERROR(IF(INDEX(tblOrtak[Ortak Adı],ROW($A544)-ROW(tblOrtak[[#Headers],[Tarih]])-1)=$B544,INDEX(tblOrtak[Bakiye (₺)],ROW($A544)-ROW(tblOrtak[[#Headers],[Tarih]])-1)+$E544,$E544),$E544))</f>
        <v/>
      </c>
      <c r="G544" s="19" t="str">
        <f aca="false">IF($A544="","",IFERROR(IF(INDEX(tblOrtak[Tarih],ROW($A544)-ROW(tblOrtak[[#Headers],[Tarih]])+1)=0,RaporTarihi,INDEX(tblOrtak[Tarih],ROW($A544)-ROW(tblOrtak[[#Headers],[Tarih]])+1))-$A544,RaporTarihi-$A544))</f>
        <v/>
      </c>
      <c r="H544" s="18" t="n">
        <f aca="false">IF($F544="",0,ROUND($F544*$G544,0))</f>
        <v>0</v>
      </c>
      <c r="I544" s="18" t="n">
        <f aca="false">IF($H544="",0,ROUND($H544*AdatFaizOran/AdatYilGunSayisi,2))</f>
        <v>0</v>
      </c>
      <c r="J544" s="22"/>
    </row>
    <row r="545" customFormat="false" ht="15" hidden="false" customHeight="false" outlineLevel="0" collapsed="false">
      <c r="A545" s="21"/>
      <c r="B545" s="22"/>
      <c r="C545" s="22"/>
      <c r="D545" s="23"/>
      <c r="E545" s="20" t="str">
        <f aca="false">IF($A545="","",IF($C545="Borç",-$D545,$D545))</f>
        <v/>
      </c>
      <c r="F545" s="18" t="str">
        <f aca="false">IF($A545="","",IFERROR(IF(INDEX(tblOrtak[Ortak Adı],ROW($A545)-ROW(tblOrtak[[#Headers],[Tarih]])-1)=$B545,INDEX(tblOrtak[Bakiye (₺)],ROW($A545)-ROW(tblOrtak[[#Headers],[Tarih]])-1)+$E545,$E545),$E545))</f>
        <v/>
      </c>
      <c r="G545" s="19" t="str">
        <f aca="false">IF($A545="","",IFERROR(IF(INDEX(tblOrtak[Tarih],ROW($A545)-ROW(tblOrtak[[#Headers],[Tarih]])+1)=0,RaporTarihi,INDEX(tblOrtak[Tarih],ROW($A545)-ROW(tblOrtak[[#Headers],[Tarih]])+1))-$A545,RaporTarihi-$A545))</f>
        <v/>
      </c>
      <c r="H545" s="18" t="n">
        <f aca="false">IF($F545="",0,ROUND($F545*$G545,0))</f>
        <v>0</v>
      </c>
      <c r="I545" s="18" t="n">
        <f aca="false">IF($H545="",0,ROUND($H545*AdatFaizOran/AdatYilGunSayisi,2))</f>
        <v>0</v>
      </c>
      <c r="J545" s="22"/>
    </row>
    <row r="546" customFormat="false" ht="15" hidden="false" customHeight="false" outlineLevel="0" collapsed="false">
      <c r="A546" s="21"/>
      <c r="B546" s="22"/>
      <c r="C546" s="22"/>
      <c r="D546" s="23"/>
      <c r="E546" s="20" t="str">
        <f aca="false">IF($A546="","",IF($C546="Borç",-$D546,$D546))</f>
        <v/>
      </c>
      <c r="F546" s="18" t="str">
        <f aca="false">IF($A546="","",IFERROR(IF(INDEX(tblOrtak[Ortak Adı],ROW($A546)-ROW(tblOrtak[[#Headers],[Tarih]])-1)=$B546,INDEX(tblOrtak[Bakiye (₺)],ROW($A546)-ROW(tblOrtak[[#Headers],[Tarih]])-1)+$E546,$E546),$E546))</f>
        <v/>
      </c>
      <c r="G546" s="19" t="str">
        <f aca="false">IF($A546="","",IFERROR(IF(INDEX(tblOrtak[Tarih],ROW($A546)-ROW(tblOrtak[[#Headers],[Tarih]])+1)=0,RaporTarihi,INDEX(tblOrtak[Tarih],ROW($A546)-ROW(tblOrtak[[#Headers],[Tarih]])+1))-$A546,RaporTarihi-$A546))</f>
        <v/>
      </c>
      <c r="H546" s="18" t="n">
        <f aca="false">IF($F546="",0,ROUND($F546*$G546,0))</f>
        <v>0</v>
      </c>
      <c r="I546" s="18" t="n">
        <f aca="false">IF($H546="",0,ROUND($H546*AdatFaizOran/AdatYilGunSayisi,2))</f>
        <v>0</v>
      </c>
      <c r="J546" s="22"/>
    </row>
    <row r="547" customFormat="false" ht="15" hidden="false" customHeight="false" outlineLevel="0" collapsed="false">
      <c r="A547" s="21"/>
      <c r="B547" s="22"/>
      <c r="C547" s="22"/>
      <c r="D547" s="23"/>
      <c r="E547" s="20" t="str">
        <f aca="false">IF($A547="","",IF($C547="Borç",-$D547,$D547))</f>
        <v/>
      </c>
      <c r="F547" s="18" t="str">
        <f aca="false">IF($A547="","",IFERROR(IF(INDEX(tblOrtak[Ortak Adı],ROW($A547)-ROW(tblOrtak[[#Headers],[Tarih]])-1)=$B547,INDEX(tblOrtak[Bakiye (₺)],ROW($A547)-ROW(tblOrtak[[#Headers],[Tarih]])-1)+$E547,$E547),$E547))</f>
        <v/>
      </c>
      <c r="G547" s="19" t="str">
        <f aca="false">IF($A547="","",IFERROR(IF(INDEX(tblOrtak[Tarih],ROW($A547)-ROW(tblOrtak[[#Headers],[Tarih]])+1)=0,RaporTarihi,INDEX(tblOrtak[Tarih],ROW($A547)-ROW(tblOrtak[[#Headers],[Tarih]])+1))-$A547,RaporTarihi-$A547))</f>
        <v/>
      </c>
      <c r="H547" s="18" t="n">
        <f aca="false">IF($F547="",0,ROUND($F547*$G547,0))</f>
        <v>0</v>
      </c>
      <c r="I547" s="18" t="n">
        <f aca="false">IF($H547="",0,ROUND($H547*AdatFaizOran/AdatYilGunSayisi,2))</f>
        <v>0</v>
      </c>
      <c r="J547" s="22"/>
    </row>
    <row r="548" customFormat="false" ht="15" hidden="false" customHeight="false" outlineLevel="0" collapsed="false">
      <c r="A548" s="21"/>
      <c r="B548" s="22"/>
      <c r="C548" s="22"/>
      <c r="D548" s="23"/>
      <c r="E548" s="20" t="str">
        <f aca="false">IF($A548="","",IF($C548="Borç",-$D548,$D548))</f>
        <v/>
      </c>
      <c r="F548" s="18" t="str">
        <f aca="false">IF($A548="","",IFERROR(IF(INDEX(tblOrtak[Ortak Adı],ROW($A548)-ROW(tblOrtak[[#Headers],[Tarih]])-1)=$B548,INDEX(tblOrtak[Bakiye (₺)],ROW($A548)-ROW(tblOrtak[[#Headers],[Tarih]])-1)+$E548,$E548),$E548))</f>
        <v/>
      </c>
      <c r="G548" s="19" t="str">
        <f aca="false">IF($A548="","",IFERROR(IF(INDEX(tblOrtak[Tarih],ROW($A548)-ROW(tblOrtak[[#Headers],[Tarih]])+1)=0,RaporTarihi,INDEX(tblOrtak[Tarih],ROW($A548)-ROW(tblOrtak[[#Headers],[Tarih]])+1))-$A548,RaporTarihi-$A548))</f>
        <v/>
      </c>
      <c r="H548" s="18" t="n">
        <f aca="false">IF($F548="",0,ROUND($F548*$G548,0))</f>
        <v>0</v>
      </c>
      <c r="I548" s="18" t="n">
        <f aca="false">IF($H548="",0,ROUND($H548*AdatFaizOran/AdatYilGunSayisi,2))</f>
        <v>0</v>
      </c>
      <c r="J548" s="22"/>
    </row>
    <row r="549" customFormat="false" ht="15" hidden="false" customHeight="false" outlineLevel="0" collapsed="false">
      <c r="A549" s="21"/>
      <c r="B549" s="22"/>
      <c r="C549" s="22"/>
      <c r="D549" s="23"/>
      <c r="E549" s="20" t="str">
        <f aca="false">IF($A549="","",IF($C549="Borç",-$D549,$D549))</f>
        <v/>
      </c>
      <c r="F549" s="18" t="str">
        <f aca="false">IF($A549="","",IFERROR(IF(INDEX(tblOrtak[Ortak Adı],ROW($A549)-ROW(tblOrtak[[#Headers],[Tarih]])-1)=$B549,INDEX(tblOrtak[Bakiye (₺)],ROW($A549)-ROW(tblOrtak[[#Headers],[Tarih]])-1)+$E549,$E549),$E549))</f>
        <v/>
      </c>
      <c r="G549" s="19" t="str">
        <f aca="false">IF($A549="","",IFERROR(IF(INDEX(tblOrtak[Tarih],ROW($A549)-ROW(tblOrtak[[#Headers],[Tarih]])+1)=0,RaporTarihi,INDEX(tblOrtak[Tarih],ROW($A549)-ROW(tblOrtak[[#Headers],[Tarih]])+1))-$A549,RaporTarihi-$A549))</f>
        <v/>
      </c>
      <c r="H549" s="18" t="n">
        <f aca="false">IF($F549="",0,ROUND($F549*$G549,0))</f>
        <v>0</v>
      </c>
      <c r="I549" s="18" t="n">
        <f aca="false">IF($H549="",0,ROUND($H549*AdatFaizOran/AdatYilGunSayisi,2))</f>
        <v>0</v>
      </c>
      <c r="J549" s="22"/>
    </row>
    <row r="550" customFormat="false" ht="15" hidden="false" customHeight="false" outlineLevel="0" collapsed="false">
      <c r="A550" s="21"/>
      <c r="B550" s="22"/>
      <c r="C550" s="22"/>
      <c r="D550" s="23"/>
      <c r="E550" s="20" t="str">
        <f aca="false">IF($A550="","",IF($C550="Borç",-$D550,$D550))</f>
        <v/>
      </c>
      <c r="F550" s="18" t="str">
        <f aca="false">IF($A550="","",IFERROR(IF(INDEX(tblOrtak[Ortak Adı],ROW($A550)-ROW(tblOrtak[[#Headers],[Tarih]])-1)=$B550,INDEX(tblOrtak[Bakiye (₺)],ROW($A550)-ROW(tblOrtak[[#Headers],[Tarih]])-1)+$E550,$E550),$E550))</f>
        <v/>
      </c>
      <c r="G550" s="19" t="str">
        <f aca="false">IF($A550="","",IFERROR(IF(INDEX(tblOrtak[Tarih],ROW($A550)-ROW(tblOrtak[[#Headers],[Tarih]])+1)=0,RaporTarihi,INDEX(tblOrtak[Tarih],ROW($A550)-ROW(tblOrtak[[#Headers],[Tarih]])+1))-$A550,RaporTarihi-$A550))</f>
        <v/>
      </c>
      <c r="H550" s="18" t="n">
        <f aca="false">IF($F550="",0,ROUND($F550*$G550,0))</f>
        <v>0</v>
      </c>
      <c r="I550" s="18" t="n">
        <f aca="false">IF($H550="",0,ROUND($H550*AdatFaizOran/AdatYilGunSayisi,2))</f>
        <v>0</v>
      </c>
      <c r="J550" s="22"/>
    </row>
    <row r="551" customFormat="false" ht="15" hidden="false" customHeight="false" outlineLevel="0" collapsed="false">
      <c r="A551" s="21"/>
      <c r="B551" s="22"/>
      <c r="C551" s="22"/>
      <c r="D551" s="23"/>
      <c r="E551" s="20" t="str">
        <f aca="false">IF($A551="","",IF($C551="Borç",-$D551,$D551))</f>
        <v/>
      </c>
      <c r="F551" s="18" t="str">
        <f aca="false">IF($A551="","",IFERROR(IF(INDEX(tblOrtak[Ortak Adı],ROW($A551)-ROW(tblOrtak[[#Headers],[Tarih]])-1)=$B551,INDEX(tblOrtak[Bakiye (₺)],ROW($A551)-ROW(tblOrtak[[#Headers],[Tarih]])-1)+$E551,$E551),$E551))</f>
        <v/>
      </c>
      <c r="G551" s="19" t="str">
        <f aca="false">IF($A551="","",IFERROR(IF(INDEX(tblOrtak[Tarih],ROW($A551)-ROW(tblOrtak[[#Headers],[Tarih]])+1)=0,RaporTarihi,INDEX(tblOrtak[Tarih],ROW($A551)-ROW(tblOrtak[[#Headers],[Tarih]])+1))-$A551,RaporTarihi-$A551))</f>
        <v/>
      </c>
      <c r="H551" s="18" t="n">
        <f aca="false">IF($F551="",0,ROUND($F551*$G551,0))</f>
        <v>0</v>
      </c>
      <c r="I551" s="18" t="n">
        <f aca="false">IF($H551="",0,ROUND($H551*AdatFaizOran/AdatYilGunSayisi,2))</f>
        <v>0</v>
      </c>
      <c r="J551" s="22"/>
    </row>
    <row r="552" customFormat="false" ht="15" hidden="false" customHeight="false" outlineLevel="0" collapsed="false">
      <c r="A552" s="21"/>
      <c r="B552" s="22"/>
      <c r="C552" s="22"/>
      <c r="D552" s="23"/>
      <c r="E552" s="20" t="str">
        <f aca="false">IF($A552="","",IF($C552="Borç",-$D552,$D552))</f>
        <v/>
      </c>
      <c r="F552" s="18" t="str">
        <f aca="false">IF($A552="","",IFERROR(IF(INDEX(tblOrtak[Ortak Adı],ROW($A552)-ROW(tblOrtak[[#Headers],[Tarih]])-1)=$B552,INDEX(tblOrtak[Bakiye (₺)],ROW($A552)-ROW(tblOrtak[[#Headers],[Tarih]])-1)+$E552,$E552),$E552))</f>
        <v/>
      </c>
      <c r="G552" s="19" t="str">
        <f aca="false">IF($A552="","",IFERROR(IF(INDEX(tblOrtak[Tarih],ROW($A552)-ROW(tblOrtak[[#Headers],[Tarih]])+1)=0,RaporTarihi,INDEX(tblOrtak[Tarih],ROW($A552)-ROW(tblOrtak[[#Headers],[Tarih]])+1))-$A552,RaporTarihi-$A552))</f>
        <v/>
      </c>
      <c r="H552" s="18" t="n">
        <f aca="false">IF($F552="",0,ROUND($F552*$G552,0))</f>
        <v>0</v>
      </c>
      <c r="I552" s="18" t="n">
        <f aca="false">IF($H552="",0,ROUND($H552*AdatFaizOran/AdatYilGunSayisi,2))</f>
        <v>0</v>
      </c>
      <c r="J552" s="22"/>
    </row>
    <row r="553" customFormat="false" ht="15" hidden="false" customHeight="false" outlineLevel="0" collapsed="false">
      <c r="A553" s="21"/>
      <c r="B553" s="22"/>
      <c r="C553" s="22"/>
      <c r="D553" s="23"/>
      <c r="E553" s="20" t="str">
        <f aca="false">IF($A553="","",IF($C553="Borç",-$D553,$D553))</f>
        <v/>
      </c>
      <c r="F553" s="18" t="str">
        <f aca="false">IF($A553="","",IFERROR(IF(INDEX(tblOrtak[Ortak Adı],ROW($A553)-ROW(tblOrtak[[#Headers],[Tarih]])-1)=$B553,INDEX(tblOrtak[Bakiye (₺)],ROW($A553)-ROW(tblOrtak[[#Headers],[Tarih]])-1)+$E553,$E553),$E553))</f>
        <v/>
      </c>
      <c r="G553" s="19" t="str">
        <f aca="false">IF($A553="","",IFERROR(IF(INDEX(tblOrtak[Tarih],ROW($A553)-ROW(tblOrtak[[#Headers],[Tarih]])+1)=0,RaporTarihi,INDEX(tblOrtak[Tarih],ROW($A553)-ROW(tblOrtak[[#Headers],[Tarih]])+1))-$A553,RaporTarihi-$A553))</f>
        <v/>
      </c>
      <c r="H553" s="18" t="n">
        <f aca="false">IF($F553="",0,ROUND($F553*$G553,0))</f>
        <v>0</v>
      </c>
      <c r="I553" s="18" t="n">
        <f aca="false">IF($H553="",0,ROUND($H553*AdatFaizOran/AdatYilGunSayisi,2))</f>
        <v>0</v>
      </c>
      <c r="J553" s="22"/>
    </row>
    <row r="554" customFormat="false" ht="15" hidden="false" customHeight="false" outlineLevel="0" collapsed="false">
      <c r="A554" s="21"/>
      <c r="B554" s="22"/>
      <c r="C554" s="22"/>
      <c r="D554" s="23"/>
      <c r="E554" s="20" t="str">
        <f aca="false">IF($A554="","",IF($C554="Borç",-$D554,$D554))</f>
        <v/>
      </c>
      <c r="F554" s="18" t="str">
        <f aca="false">IF($A554="","",IFERROR(IF(INDEX(tblOrtak[Ortak Adı],ROW($A554)-ROW(tblOrtak[[#Headers],[Tarih]])-1)=$B554,INDEX(tblOrtak[Bakiye (₺)],ROW($A554)-ROW(tblOrtak[[#Headers],[Tarih]])-1)+$E554,$E554),$E554))</f>
        <v/>
      </c>
      <c r="G554" s="19" t="str">
        <f aca="false">IF($A554="","",IFERROR(IF(INDEX(tblOrtak[Tarih],ROW($A554)-ROW(tblOrtak[[#Headers],[Tarih]])+1)=0,RaporTarihi,INDEX(tblOrtak[Tarih],ROW($A554)-ROW(tblOrtak[[#Headers],[Tarih]])+1))-$A554,RaporTarihi-$A554))</f>
        <v/>
      </c>
      <c r="H554" s="18" t="n">
        <f aca="false">IF($F554="",0,ROUND($F554*$G554,0))</f>
        <v>0</v>
      </c>
      <c r="I554" s="18" t="n">
        <f aca="false">IF($H554="",0,ROUND($H554*AdatFaizOran/AdatYilGunSayisi,2))</f>
        <v>0</v>
      </c>
      <c r="J554" s="22"/>
    </row>
    <row r="555" customFormat="false" ht="15" hidden="false" customHeight="false" outlineLevel="0" collapsed="false">
      <c r="A555" s="21"/>
      <c r="B555" s="22"/>
      <c r="C555" s="22"/>
      <c r="D555" s="23"/>
      <c r="E555" s="20" t="str">
        <f aca="false">IF($A555="","",IF($C555="Borç",-$D555,$D555))</f>
        <v/>
      </c>
      <c r="F555" s="18" t="str">
        <f aca="false">IF($A555="","",IFERROR(IF(INDEX(tblOrtak[Ortak Adı],ROW($A555)-ROW(tblOrtak[[#Headers],[Tarih]])-1)=$B555,INDEX(tblOrtak[Bakiye (₺)],ROW($A555)-ROW(tblOrtak[[#Headers],[Tarih]])-1)+$E555,$E555),$E555))</f>
        <v/>
      </c>
      <c r="G555" s="19" t="str">
        <f aca="false">IF($A555="","",IFERROR(IF(INDEX(tblOrtak[Tarih],ROW($A555)-ROW(tblOrtak[[#Headers],[Tarih]])+1)=0,RaporTarihi,INDEX(tblOrtak[Tarih],ROW($A555)-ROW(tblOrtak[[#Headers],[Tarih]])+1))-$A555,RaporTarihi-$A555))</f>
        <v/>
      </c>
      <c r="H555" s="18" t="n">
        <f aca="false">IF($F555="",0,ROUND($F555*$G555,0))</f>
        <v>0</v>
      </c>
      <c r="I555" s="18" t="n">
        <f aca="false">IF($H555="",0,ROUND($H555*AdatFaizOran/AdatYilGunSayisi,2))</f>
        <v>0</v>
      </c>
      <c r="J555" s="22"/>
    </row>
    <row r="556" customFormat="false" ht="15" hidden="false" customHeight="false" outlineLevel="0" collapsed="false">
      <c r="A556" s="21"/>
      <c r="B556" s="22"/>
      <c r="C556" s="22"/>
      <c r="D556" s="23"/>
      <c r="E556" s="20" t="str">
        <f aca="false">IF($A556="","",IF($C556="Borç",-$D556,$D556))</f>
        <v/>
      </c>
      <c r="F556" s="18" t="str">
        <f aca="false">IF($A556="","",IFERROR(IF(INDEX(tblOrtak[Ortak Adı],ROW($A556)-ROW(tblOrtak[[#Headers],[Tarih]])-1)=$B556,INDEX(tblOrtak[Bakiye (₺)],ROW($A556)-ROW(tblOrtak[[#Headers],[Tarih]])-1)+$E556,$E556),$E556))</f>
        <v/>
      </c>
      <c r="G556" s="19" t="str">
        <f aca="false">IF($A556="","",IFERROR(IF(INDEX(tblOrtak[Tarih],ROW($A556)-ROW(tblOrtak[[#Headers],[Tarih]])+1)=0,RaporTarihi,INDEX(tblOrtak[Tarih],ROW($A556)-ROW(tblOrtak[[#Headers],[Tarih]])+1))-$A556,RaporTarihi-$A556))</f>
        <v/>
      </c>
      <c r="H556" s="18" t="n">
        <f aca="false">IF($F556="",0,ROUND($F556*$G556,0))</f>
        <v>0</v>
      </c>
      <c r="I556" s="18" t="n">
        <f aca="false">IF($H556="",0,ROUND($H556*AdatFaizOran/AdatYilGunSayisi,2))</f>
        <v>0</v>
      </c>
      <c r="J556" s="22"/>
    </row>
    <row r="557" customFormat="false" ht="15" hidden="false" customHeight="false" outlineLevel="0" collapsed="false">
      <c r="A557" s="21"/>
      <c r="B557" s="22"/>
      <c r="C557" s="22"/>
      <c r="D557" s="23"/>
      <c r="E557" s="20" t="str">
        <f aca="false">IF($A557="","",IF($C557="Borç",-$D557,$D557))</f>
        <v/>
      </c>
      <c r="F557" s="18" t="str">
        <f aca="false">IF($A557="","",IFERROR(IF(INDEX(tblOrtak[Ortak Adı],ROW($A557)-ROW(tblOrtak[[#Headers],[Tarih]])-1)=$B557,INDEX(tblOrtak[Bakiye (₺)],ROW($A557)-ROW(tblOrtak[[#Headers],[Tarih]])-1)+$E557,$E557),$E557))</f>
        <v/>
      </c>
      <c r="G557" s="19" t="str">
        <f aca="false">IF($A557="","",IFERROR(IF(INDEX(tblOrtak[Tarih],ROW($A557)-ROW(tblOrtak[[#Headers],[Tarih]])+1)=0,RaporTarihi,INDEX(tblOrtak[Tarih],ROW($A557)-ROW(tblOrtak[[#Headers],[Tarih]])+1))-$A557,RaporTarihi-$A557))</f>
        <v/>
      </c>
      <c r="H557" s="18" t="n">
        <f aca="false">IF($F557="",0,ROUND($F557*$G557,0))</f>
        <v>0</v>
      </c>
      <c r="I557" s="18" t="n">
        <f aca="false">IF($H557="",0,ROUND($H557*AdatFaizOran/AdatYilGunSayisi,2))</f>
        <v>0</v>
      </c>
      <c r="J557" s="22"/>
    </row>
    <row r="558" customFormat="false" ht="15" hidden="false" customHeight="false" outlineLevel="0" collapsed="false">
      <c r="A558" s="21"/>
      <c r="B558" s="22"/>
      <c r="C558" s="22"/>
      <c r="D558" s="23"/>
      <c r="E558" s="20" t="str">
        <f aca="false">IF($A558="","",IF($C558="Borç",-$D558,$D558))</f>
        <v/>
      </c>
      <c r="F558" s="18" t="str">
        <f aca="false">IF($A558="","",IFERROR(IF(INDEX(tblOrtak[Ortak Adı],ROW($A558)-ROW(tblOrtak[[#Headers],[Tarih]])-1)=$B558,INDEX(tblOrtak[Bakiye (₺)],ROW($A558)-ROW(tblOrtak[[#Headers],[Tarih]])-1)+$E558,$E558),$E558))</f>
        <v/>
      </c>
      <c r="G558" s="19" t="str">
        <f aca="false">IF($A558="","",IFERROR(IF(INDEX(tblOrtak[Tarih],ROW($A558)-ROW(tblOrtak[[#Headers],[Tarih]])+1)=0,RaporTarihi,INDEX(tblOrtak[Tarih],ROW($A558)-ROW(tblOrtak[[#Headers],[Tarih]])+1))-$A558,RaporTarihi-$A558))</f>
        <v/>
      </c>
      <c r="H558" s="18" t="n">
        <f aca="false">IF($F558="",0,ROUND($F558*$G558,0))</f>
        <v>0</v>
      </c>
      <c r="I558" s="18" t="n">
        <f aca="false">IF($H558="",0,ROUND($H558*AdatFaizOran/AdatYilGunSayisi,2))</f>
        <v>0</v>
      </c>
      <c r="J558" s="22"/>
    </row>
    <row r="559" customFormat="false" ht="15" hidden="false" customHeight="false" outlineLevel="0" collapsed="false">
      <c r="A559" s="21"/>
      <c r="B559" s="22"/>
      <c r="C559" s="22"/>
      <c r="D559" s="23"/>
      <c r="E559" s="20" t="str">
        <f aca="false">IF($A559="","",IF($C559="Borç",-$D559,$D559))</f>
        <v/>
      </c>
      <c r="F559" s="18" t="str">
        <f aca="false">IF($A559="","",IFERROR(IF(INDEX(tblOrtak[Ortak Adı],ROW($A559)-ROW(tblOrtak[[#Headers],[Tarih]])-1)=$B559,INDEX(tblOrtak[Bakiye (₺)],ROW($A559)-ROW(tblOrtak[[#Headers],[Tarih]])-1)+$E559,$E559),$E559))</f>
        <v/>
      </c>
      <c r="G559" s="19" t="str">
        <f aca="false">IF($A559="","",IFERROR(IF(INDEX(tblOrtak[Tarih],ROW($A559)-ROW(tblOrtak[[#Headers],[Tarih]])+1)=0,RaporTarihi,INDEX(tblOrtak[Tarih],ROW($A559)-ROW(tblOrtak[[#Headers],[Tarih]])+1))-$A559,RaporTarihi-$A559))</f>
        <v/>
      </c>
      <c r="H559" s="18" t="n">
        <f aca="false">IF($F559="",0,ROUND($F559*$G559,0))</f>
        <v>0</v>
      </c>
      <c r="I559" s="18" t="n">
        <f aca="false">IF($H559="",0,ROUND($H559*AdatFaizOran/AdatYilGunSayisi,2))</f>
        <v>0</v>
      </c>
      <c r="J559" s="22"/>
    </row>
    <row r="560" customFormat="false" ht="15" hidden="false" customHeight="false" outlineLevel="0" collapsed="false">
      <c r="A560" s="21"/>
      <c r="B560" s="22"/>
      <c r="C560" s="22"/>
      <c r="D560" s="23"/>
      <c r="E560" s="20" t="str">
        <f aca="false">IF($A560="","",IF($C560="Borç",-$D560,$D560))</f>
        <v/>
      </c>
      <c r="F560" s="18" t="str">
        <f aca="false">IF($A560="","",IFERROR(IF(INDEX(tblOrtak[Ortak Adı],ROW($A560)-ROW(tblOrtak[[#Headers],[Tarih]])-1)=$B560,INDEX(tblOrtak[Bakiye (₺)],ROW($A560)-ROW(tblOrtak[[#Headers],[Tarih]])-1)+$E560,$E560),$E560))</f>
        <v/>
      </c>
      <c r="G560" s="19" t="str">
        <f aca="false">IF($A560="","",IFERROR(IF(INDEX(tblOrtak[Tarih],ROW($A560)-ROW(tblOrtak[[#Headers],[Tarih]])+1)=0,RaporTarihi,INDEX(tblOrtak[Tarih],ROW($A560)-ROW(tblOrtak[[#Headers],[Tarih]])+1))-$A560,RaporTarihi-$A560))</f>
        <v/>
      </c>
      <c r="H560" s="18" t="n">
        <f aca="false">IF($F560="",0,ROUND($F560*$G560,0))</f>
        <v>0</v>
      </c>
      <c r="I560" s="18" t="n">
        <f aca="false">IF($H560="",0,ROUND($H560*AdatFaizOran/AdatYilGunSayisi,2))</f>
        <v>0</v>
      </c>
      <c r="J560" s="22"/>
    </row>
    <row r="561" customFormat="false" ht="15" hidden="false" customHeight="false" outlineLevel="0" collapsed="false">
      <c r="A561" s="21"/>
      <c r="B561" s="22"/>
      <c r="C561" s="22"/>
      <c r="D561" s="23"/>
      <c r="E561" s="20" t="str">
        <f aca="false">IF($A561="","",IF($C561="Borç",-$D561,$D561))</f>
        <v/>
      </c>
      <c r="F561" s="18" t="str">
        <f aca="false">IF($A561="","",IFERROR(IF(INDEX(tblOrtak[Ortak Adı],ROW($A561)-ROW(tblOrtak[[#Headers],[Tarih]])-1)=$B561,INDEX(tblOrtak[Bakiye (₺)],ROW($A561)-ROW(tblOrtak[[#Headers],[Tarih]])-1)+$E561,$E561),$E561))</f>
        <v/>
      </c>
      <c r="G561" s="19" t="str">
        <f aca="false">IF($A561="","",IFERROR(IF(INDEX(tblOrtak[Tarih],ROW($A561)-ROW(tblOrtak[[#Headers],[Tarih]])+1)=0,RaporTarihi,INDEX(tblOrtak[Tarih],ROW($A561)-ROW(tblOrtak[[#Headers],[Tarih]])+1))-$A561,RaporTarihi-$A561))</f>
        <v/>
      </c>
      <c r="H561" s="18" t="n">
        <f aca="false">IF($F561="",0,ROUND($F561*$G561,0))</f>
        <v>0</v>
      </c>
      <c r="I561" s="18" t="n">
        <f aca="false">IF($H561="",0,ROUND($H561*AdatFaizOran/AdatYilGunSayisi,2))</f>
        <v>0</v>
      </c>
      <c r="J561" s="22"/>
    </row>
    <row r="562" customFormat="false" ht="15" hidden="false" customHeight="false" outlineLevel="0" collapsed="false">
      <c r="A562" s="21"/>
      <c r="B562" s="22"/>
      <c r="C562" s="22"/>
      <c r="D562" s="23"/>
      <c r="E562" s="20" t="str">
        <f aca="false">IF($A562="","",IF($C562="Borç",-$D562,$D562))</f>
        <v/>
      </c>
      <c r="F562" s="18" t="str">
        <f aca="false">IF($A562="","",IFERROR(IF(INDEX(tblOrtak[Ortak Adı],ROW($A562)-ROW(tblOrtak[[#Headers],[Tarih]])-1)=$B562,INDEX(tblOrtak[Bakiye (₺)],ROW($A562)-ROW(tblOrtak[[#Headers],[Tarih]])-1)+$E562,$E562),$E562))</f>
        <v/>
      </c>
      <c r="G562" s="19" t="str">
        <f aca="false">IF($A562="","",IFERROR(IF(INDEX(tblOrtak[Tarih],ROW($A562)-ROW(tblOrtak[[#Headers],[Tarih]])+1)=0,RaporTarihi,INDEX(tblOrtak[Tarih],ROW($A562)-ROW(tblOrtak[[#Headers],[Tarih]])+1))-$A562,RaporTarihi-$A562))</f>
        <v/>
      </c>
      <c r="H562" s="18" t="n">
        <f aca="false">IF($F562="",0,ROUND($F562*$G562,0))</f>
        <v>0</v>
      </c>
      <c r="I562" s="18" t="n">
        <f aca="false">IF($H562="",0,ROUND($H562*AdatFaizOran/AdatYilGunSayisi,2))</f>
        <v>0</v>
      </c>
      <c r="J562" s="22"/>
    </row>
    <row r="563" customFormat="false" ht="15" hidden="false" customHeight="false" outlineLevel="0" collapsed="false">
      <c r="A563" s="21"/>
      <c r="B563" s="22"/>
      <c r="C563" s="22"/>
      <c r="D563" s="23"/>
      <c r="E563" s="20" t="str">
        <f aca="false">IF($A563="","",IF($C563="Borç",-$D563,$D563))</f>
        <v/>
      </c>
      <c r="F563" s="18" t="str">
        <f aca="false">IF($A563="","",IFERROR(IF(INDEX(tblOrtak[Ortak Adı],ROW($A563)-ROW(tblOrtak[[#Headers],[Tarih]])-1)=$B563,INDEX(tblOrtak[Bakiye (₺)],ROW($A563)-ROW(tblOrtak[[#Headers],[Tarih]])-1)+$E563,$E563),$E563))</f>
        <v/>
      </c>
      <c r="G563" s="19" t="str">
        <f aca="false">IF($A563="","",IFERROR(IF(INDEX(tblOrtak[Tarih],ROW($A563)-ROW(tblOrtak[[#Headers],[Tarih]])+1)=0,RaporTarihi,INDEX(tblOrtak[Tarih],ROW($A563)-ROW(tblOrtak[[#Headers],[Tarih]])+1))-$A563,RaporTarihi-$A563))</f>
        <v/>
      </c>
      <c r="H563" s="18" t="n">
        <f aca="false">IF($F563="",0,ROUND($F563*$G563,0))</f>
        <v>0</v>
      </c>
      <c r="I563" s="18" t="n">
        <f aca="false">IF($H563="",0,ROUND($H563*AdatFaizOran/AdatYilGunSayisi,2))</f>
        <v>0</v>
      </c>
      <c r="J563" s="22"/>
    </row>
    <row r="564" customFormat="false" ht="15" hidden="false" customHeight="false" outlineLevel="0" collapsed="false">
      <c r="A564" s="21"/>
      <c r="B564" s="22"/>
      <c r="C564" s="22"/>
      <c r="D564" s="23"/>
      <c r="E564" s="20" t="str">
        <f aca="false">IF($A564="","",IF($C564="Borç",-$D564,$D564))</f>
        <v/>
      </c>
      <c r="F564" s="18" t="str">
        <f aca="false">IF($A564="","",IFERROR(IF(INDEX(tblOrtak[Ortak Adı],ROW($A564)-ROW(tblOrtak[[#Headers],[Tarih]])-1)=$B564,INDEX(tblOrtak[Bakiye (₺)],ROW($A564)-ROW(tblOrtak[[#Headers],[Tarih]])-1)+$E564,$E564),$E564))</f>
        <v/>
      </c>
      <c r="G564" s="19" t="str">
        <f aca="false">IF($A564="","",IFERROR(IF(INDEX(tblOrtak[Tarih],ROW($A564)-ROW(tblOrtak[[#Headers],[Tarih]])+1)=0,RaporTarihi,INDEX(tblOrtak[Tarih],ROW($A564)-ROW(tblOrtak[[#Headers],[Tarih]])+1))-$A564,RaporTarihi-$A564))</f>
        <v/>
      </c>
      <c r="H564" s="18" t="n">
        <f aca="false">IF($F564="",0,ROUND($F564*$G564,0))</f>
        <v>0</v>
      </c>
      <c r="I564" s="18" t="n">
        <f aca="false">IF($H564="",0,ROUND($H564*AdatFaizOran/AdatYilGunSayisi,2))</f>
        <v>0</v>
      </c>
      <c r="J564" s="22"/>
    </row>
    <row r="565" customFormat="false" ht="15" hidden="false" customHeight="false" outlineLevel="0" collapsed="false">
      <c r="A565" s="21"/>
      <c r="B565" s="22"/>
      <c r="C565" s="22"/>
      <c r="D565" s="23"/>
      <c r="E565" s="20" t="str">
        <f aca="false">IF($A565="","",IF($C565="Borç",-$D565,$D565))</f>
        <v/>
      </c>
      <c r="F565" s="18" t="str">
        <f aca="false">IF($A565="","",IFERROR(IF(INDEX(tblOrtak[Ortak Adı],ROW($A565)-ROW(tblOrtak[[#Headers],[Tarih]])-1)=$B565,INDEX(tblOrtak[Bakiye (₺)],ROW($A565)-ROW(tblOrtak[[#Headers],[Tarih]])-1)+$E565,$E565),$E565))</f>
        <v/>
      </c>
      <c r="G565" s="19" t="str">
        <f aca="false">IF($A565="","",IFERROR(IF(INDEX(tblOrtak[Tarih],ROW($A565)-ROW(tblOrtak[[#Headers],[Tarih]])+1)=0,RaporTarihi,INDEX(tblOrtak[Tarih],ROW($A565)-ROW(tblOrtak[[#Headers],[Tarih]])+1))-$A565,RaporTarihi-$A565))</f>
        <v/>
      </c>
      <c r="H565" s="18" t="n">
        <f aca="false">IF($F565="",0,ROUND($F565*$G565,0))</f>
        <v>0</v>
      </c>
      <c r="I565" s="18" t="n">
        <f aca="false">IF($H565="",0,ROUND($H565*AdatFaizOran/AdatYilGunSayisi,2))</f>
        <v>0</v>
      </c>
      <c r="J565" s="22"/>
    </row>
    <row r="566" customFormat="false" ht="15" hidden="false" customHeight="false" outlineLevel="0" collapsed="false">
      <c r="A566" s="21"/>
      <c r="B566" s="22"/>
      <c r="C566" s="22"/>
      <c r="D566" s="23"/>
      <c r="E566" s="20" t="str">
        <f aca="false">IF($A566="","",IF($C566="Borç",-$D566,$D566))</f>
        <v/>
      </c>
      <c r="F566" s="18" t="str">
        <f aca="false">IF($A566="","",IFERROR(IF(INDEX(tblOrtak[Ortak Adı],ROW($A566)-ROW(tblOrtak[[#Headers],[Tarih]])-1)=$B566,INDEX(tblOrtak[Bakiye (₺)],ROW($A566)-ROW(tblOrtak[[#Headers],[Tarih]])-1)+$E566,$E566),$E566))</f>
        <v/>
      </c>
      <c r="G566" s="19" t="str">
        <f aca="false">IF($A566="","",IFERROR(IF(INDEX(tblOrtak[Tarih],ROW($A566)-ROW(tblOrtak[[#Headers],[Tarih]])+1)=0,RaporTarihi,INDEX(tblOrtak[Tarih],ROW($A566)-ROW(tblOrtak[[#Headers],[Tarih]])+1))-$A566,RaporTarihi-$A566))</f>
        <v/>
      </c>
      <c r="H566" s="18" t="n">
        <f aca="false">IF($F566="",0,ROUND($F566*$G566,0))</f>
        <v>0</v>
      </c>
      <c r="I566" s="18" t="n">
        <f aca="false">IF($H566="",0,ROUND($H566*AdatFaizOran/AdatYilGunSayisi,2))</f>
        <v>0</v>
      </c>
      <c r="J566" s="22"/>
    </row>
    <row r="567" customFormat="false" ht="15" hidden="false" customHeight="false" outlineLevel="0" collapsed="false">
      <c r="A567" s="21"/>
      <c r="B567" s="22"/>
      <c r="C567" s="22"/>
      <c r="D567" s="23"/>
      <c r="E567" s="20" t="str">
        <f aca="false">IF($A567="","",IF($C567="Borç",-$D567,$D567))</f>
        <v/>
      </c>
      <c r="F567" s="18" t="str">
        <f aca="false">IF($A567="","",IFERROR(IF(INDEX(tblOrtak[Ortak Adı],ROW($A567)-ROW(tblOrtak[[#Headers],[Tarih]])-1)=$B567,INDEX(tblOrtak[Bakiye (₺)],ROW($A567)-ROW(tblOrtak[[#Headers],[Tarih]])-1)+$E567,$E567),$E567))</f>
        <v/>
      </c>
      <c r="G567" s="19" t="str">
        <f aca="false">IF($A567="","",IFERROR(IF(INDEX(tblOrtak[Tarih],ROW($A567)-ROW(tblOrtak[[#Headers],[Tarih]])+1)=0,RaporTarihi,INDEX(tblOrtak[Tarih],ROW($A567)-ROW(tblOrtak[[#Headers],[Tarih]])+1))-$A567,RaporTarihi-$A567))</f>
        <v/>
      </c>
      <c r="H567" s="18" t="n">
        <f aca="false">IF($F567="",0,ROUND($F567*$G567,0))</f>
        <v>0</v>
      </c>
      <c r="I567" s="18" t="n">
        <f aca="false">IF($H567="",0,ROUND($H567*AdatFaizOran/AdatYilGunSayisi,2))</f>
        <v>0</v>
      </c>
      <c r="J567" s="22"/>
    </row>
    <row r="568" customFormat="false" ht="15" hidden="false" customHeight="false" outlineLevel="0" collapsed="false">
      <c r="A568" s="21"/>
      <c r="B568" s="22"/>
      <c r="C568" s="22"/>
      <c r="D568" s="23"/>
      <c r="E568" s="20" t="str">
        <f aca="false">IF($A568="","",IF($C568="Borç",-$D568,$D568))</f>
        <v/>
      </c>
      <c r="F568" s="18" t="str">
        <f aca="false">IF($A568="","",IFERROR(IF(INDEX(tblOrtak[Ortak Adı],ROW($A568)-ROW(tblOrtak[[#Headers],[Tarih]])-1)=$B568,INDEX(tblOrtak[Bakiye (₺)],ROW($A568)-ROW(tblOrtak[[#Headers],[Tarih]])-1)+$E568,$E568),$E568))</f>
        <v/>
      </c>
      <c r="G568" s="19" t="str">
        <f aca="false">IF($A568="","",IFERROR(IF(INDEX(tblOrtak[Tarih],ROW($A568)-ROW(tblOrtak[[#Headers],[Tarih]])+1)=0,RaporTarihi,INDEX(tblOrtak[Tarih],ROW($A568)-ROW(tblOrtak[[#Headers],[Tarih]])+1))-$A568,RaporTarihi-$A568))</f>
        <v/>
      </c>
      <c r="H568" s="18" t="n">
        <f aca="false">IF($F568="",0,ROUND($F568*$G568,0))</f>
        <v>0</v>
      </c>
      <c r="I568" s="18" t="n">
        <f aca="false">IF($H568="",0,ROUND($H568*AdatFaizOran/AdatYilGunSayisi,2))</f>
        <v>0</v>
      </c>
      <c r="J568" s="22"/>
    </row>
    <row r="569" customFormat="false" ht="15" hidden="false" customHeight="false" outlineLevel="0" collapsed="false">
      <c r="A569" s="21"/>
      <c r="B569" s="22"/>
      <c r="C569" s="22"/>
      <c r="D569" s="23"/>
      <c r="E569" s="20" t="str">
        <f aca="false">IF($A569="","",IF($C569="Borç",-$D569,$D569))</f>
        <v/>
      </c>
      <c r="F569" s="18" t="str">
        <f aca="false">IF($A569="","",IFERROR(IF(INDEX(tblOrtak[Ortak Adı],ROW($A569)-ROW(tblOrtak[[#Headers],[Tarih]])-1)=$B569,INDEX(tblOrtak[Bakiye (₺)],ROW($A569)-ROW(tblOrtak[[#Headers],[Tarih]])-1)+$E569,$E569),$E569))</f>
        <v/>
      </c>
      <c r="G569" s="19" t="str">
        <f aca="false">IF($A569="","",IFERROR(IF(INDEX(tblOrtak[Tarih],ROW($A569)-ROW(tblOrtak[[#Headers],[Tarih]])+1)=0,RaporTarihi,INDEX(tblOrtak[Tarih],ROW($A569)-ROW(tblOrtak[[#Headers],[Tarih]])+1))-$A569,RaporTarihi-$A569))</f>
        <v/>
      </c>
      <c r="H569" s="18" t="n">
        <f aca="false">IF($F569="",0,ROUND($F569*$G569,0))</f>
        <v>0</v>
      </c>
      <c r="I569" s="18" t="n">
        <f aca="false">IF($H569="",0,ROUND($H569*AdatFaizOran/AdatYilGunSayisi,2))</f>
        <v>0</v>
      </c>
      <c r="J569" s="22"/>
    </row>
    <row r="570" customFormat="false" ht="15" hidden="false" customHeight="false" outlineLevel="0" collapsed="false">
      <c r="A570" s="21"/>
      <c r="B570" s="22"/>
      <c r="C570" s="22"/>
      <c r="D570" s="23"/>
      <c r="E570" s="20" t="str">
        <f aca="false">IF($A570="","",IF($C570="Borç",-$D570,$D570))</f>
        <v/>
      </c>
      <c r="F570" s="18" t="str">
        <f aca="false">IF($A570="","",IFERROR(IF(INDEX(tblOrtak[Ortak Adı],ROW($A570)-ROW(tblOrtak[[#Headers],[Tarih]])-1)=$B570,INDEX(tblOrtak[Bakiye (₺)],ROW($A570)-ROW(tblOrtak[[#Headers],[Tarih]])-1)+$E570,$E570),$E570))</f>
        <v/>
      </c>
      <c r="G570" s="19" t="str">
        <f aca="false">IF($A570="","",IFERROR(IF(INDEX(tblOrtak[Tarih],ROW($A570)-ROW(tblOrtak[[#Headers],[Tarih]])+1)=0,RaporTarihi,INDEX(tblOrtak[Tarih],ROW($A570)-ROW(tblOrtak[[#Headers],[Tarih]])+1))-$A570,RaporTarihi-$A570))</f>
        <v/>
      </c>
      <c r="H570" s="18" t="n">
        <f aca="false">IF($F570="",0,ROUND($F570*$G570,0))</f>
        <v>0</v>
      </c>
      <c r="I570" s="18" t="n">
        <f aca="false">IF($H570="",0,ROUND($H570*AdatFaizOran/AdatYilGunSayisi,2))</f>
        <v>0</v>
      </c>
      <c r="J570" s="22"/>
    </row>
    <row r="571" customFormat="false" ht="15" hidden="false" customHeight="false" outlineLevel="0" collapsed="false">
      <c r="A571" s="21"/>
      <c r="B571" s="22"/>
      <c r="C571" s="22"/>
      <c r="D571" s="23"/>
      <c r="E571" s="20" t="str">
        <f aca="false">IF($A571="","",IF($C571="Borç",-$D571,$D571))</f>
        <v/>
      </c>
      <c r="F571" s="18" t="str">
        <f aca="false">IF($A571="","",IFERROR(IF(INDEX(tblOrtak[Ortak Adı],ROW($A571)-ROW(tblOrtak[[#Headers],[Tarih]])-1)=$B571,INDEX(tblOrtak[Bakiye (₺)],ROW($A571)-ROW(tblOrtak[[#Headers],[Tarih]])-1)+$E571,$E571),$E571))</f>
        <v/>
      </c>
      <c r="G571" s="19" t="str">
        <f aca="false">IF($A571="","",IFERROR(IF(INDEX(tblOrtak[Tarih],ROW($A571)-ROW(tblOrtak[[#Headers],[Tarih]])+1)=0,RaporTarihi,INDEX(tblOrtak[Tarih],ROW($A571)-ROW(tblOrtak[[#Headers],[Tarih]])+1))-$A571,RaporTarihi-$A571))</f>
        <v/>
      </c>
      <c r="H571" s="18" t="n">
        <f aca="false">IF($F571="",0,ROUND($F571*$G571,0))</f>
        <v>0</v>
      </c>
      <c r="I571" s="18" t="n">
        <f aca="false">IF($H571="",0,ROUND($H571*AdatFaizOran/AdatYilGunSayisi,2))</f>
        <v>0</v>
      </c>
      <c r="J571" s="22"/>
    </row>
    <row r="572" customFormat="false" ht="15" hidden="false" customHeight="false" outlineLevel="0" collapsed="false">
      <c r="A572" s="21"/>
      <c r="B572" s="22"/>
      <c r="C572" s="22"/>
      <c r="D572" s="23"/>
      <c r="E572" s="20" t="str">
        <f aca="false">IF($A572="","",IF($C572="Borç",-$D572,$D572))</f>
        <v/>
      </c>
      <c r="F572" s="18" t="str">
        <f aca="false">IF($A572="","",IFERROR(IF(INDEX(tblOrtak[Ortak Adı],ROW($A572)-ROW(tblOrtak[[#Headers],[Tarih]])-1)=$B572,INDEX(tblOrtak[Bakiye (₺)],ROW($A572)-ROW(tblOrtak[[#Headers],[Tarih]])-1)+$E572,$E572),$E572))</f>
        <v/>
      </c>
      <c r="G572" s="19" t="str">
        <f aca="false">IF($A572="","",IFERROR(IF(INDEX(tblOrtak[Tarih],ROW($A572)-ROW(tblOrtak[[#Headers],[Tarih]])+1)=0,RaporTarihi,INDEX(tblOrtak[Tarih],ROW($A572)-ROW(tblOrtak[[#Headers],[Tarih]])+1))-$A572,RaporTarihi-$A572))</f>
        <v/>
      </c>
      <c r="H572" s="18" t="n">
        <f aca="false">IF($F572="",0,ROUND($F572*$G572,0))</f>
        <v>0</v>
      </c>
      <c r="I572" s="18" t="n">
        <f aca="false">IF($H572="",0,ROUND($H572*AdatFaizOran/AdatYilGunSayisi,2))</f>
        <v>0</v>
      </c>
      <c r="J572" s="22"/>
    </row>
    <row r="573" customFormat="false" ht="15" hidden="false" customHeight="false" outlineLevel="0" collapsed="false">
      <c r="A573" s="21"/>
      <c r="B573" s="22"/>
      <c r="C573" s="22"/>
      <c r="D573" s="23"/>
      <c r="E573" s="20" t="str">
        <f aca="false">IF($A573="","",IF($C573="Borç",-$D573,$D573))</f>
        <v/>
      </c>
      <c r="F573" s="18" t="str">
        <f aca="false">IF($A573="","",IFERROR(IF(INDEX(tblOrtak[Ortak Adı],ROW($A573)-ROW(tblOrtak[[#Headers],[Tarih]])-1)=$B573,INDEX(tblOrtak[Bakiye (₺)],ROW($A573)-ROW(tblOrtak[[#Headers],[Tarih]])-1)+$E573,$E573),$E573))</f>
        <v/>
      </c>
      <c r="G573" s="19" t="str">
        <f aca="false">IF($A573="","",IFERROR(IF(INDEX(tblOrtak[Tarih],ROW($A573)-ROW(tblOrtak[[#Headers],[Tarih]])+1)=0,RaporTarihi,INDEX(tblOrtak[Tarih],ROW($A573)-ROW(tblOrtak[[#Headers],[Tarih]])+1))-$A573,RaporTarihi-$A573))</f>
        <v/>
      </c>
      <c r="H573" s="18" t="n">
        <f aca="false">IF($F573="",0,ROUND($F573*$G573,0))</f>
        <v>0</v>
      </c>
      <c r="I573" s="18" t="n">
        <f aca="false">IF($H573="",0,ROUND($H573*AdatFaizOran/AdatYilGunSayisi,2))</f>
        <v>0</v>
      </c>
      <c r="J573" s="22"/>
    </row>
    <row r="574" customFormat="false" ht="15" hidden="false" customHeight="false" outlineLevel="0" collapsed="false">
      <c r="A574" s="21"/>
      <c r="B574" s="22"/>
      <c r="C574" s="22"/>
      <c r="D574" s="23"/>
      <c r="E574" s="20" t="str">
        <f aca="false">IF($A574="","",IF($C574="Borç",-$D574,$D574))</f>
        <v/>
      </c>
      <c r="F574" s="18" t="str">
        <f aca="false">IF($A574="","",IFERROR(IF(INDEX(tblOrtak[Ortak Adı],ROW($A574)-ROW(tblOrtak[[#Headers],[Tarih]])-1)=$B574,INDEX(tblOrtak[Bakiye (₺)],ROW($A574)-ROW(tblOrtak[[#Headers],[Tarih]])-1)+$E574,$E574),$E574))</f>
        <v/>
      </c>
      <c r="G574" s="19" t="str">
        <f aca="false">IF($A574="","",IFERROR(IF(INDEX(tblOrtak[Tarih],ROW($A574)-ROW(tblOrtak[[#Headers],[Tarih]])+1)=0,RaporTarihi,INDEX(tblOrtak[Tarih],ROW($A574)-ROW(tblOrtak[[#Headers],[Tarih]])+1))-$A574,RaporTarihi-$A574))</f>
        <v/>
      </c>
      <c r="H574" s="18" t="n">
        <f aca="false">IF($F574="",0,ROUND($F574*$G574,0))</f>
        <v>0</v>
      </c>
      <c r="I574" s="18" t="n">
        <f aca="false">IF($H574="",0,ROUND($H574*AdatFaizOran/AdatYilGunSayisi,2))</f>
        <v>0</v>
      </c>
      <c r="J574" s="22"/>
    </row>
    <row r="575" customFormat="false" ht="15" hidden="false" customHeight="false" outlineLevel="0" collapsed="false">
      <c r="A575" s="21"/>
      <c r="B575" s="22"/>
      <c r="C575" s="22"/>
      <c r="D575" s="23"/>
      <c r="E575" s="20" t="str">
        <f aca="false">IF($A575="","",IF($C575="Borç",-$D575,$D575))</f>
        <v/>
      </c>
      <c r="F575" s="18" t="str">
        <f aca="false">IF($A575="","",IFERROR(IF(INDEX(tblOrtak[Ortak Adı],ROW($A575)-ROW(tblOrtak[[#Headers],[Tarih]])-1)=$B575,INDEX(tblOrtak[Bakiye (₺)],ROW($A575)-ROW(tblOrtak[[#Headers],[Tarih]])-1)+$E575,$E575),$E575))</f>
        <v/>
      </c>
      <c r="G575" s="19" t="str">
        <f aca="false">IF($A575="","",IFERROR(IF(INDEX(tblOrtak[Tarih],ROW($A575)-ROW(tblOrtak[[#Headers],[Tarih]])+1)=0,RaporTarihi,INDEX(tblOrtak[Tarih],ROW($A575)-ROW(tblOrtak[[#Headers],[Tarih]])+1))-$A575,RaporTarihi-$A575))</f>
        <v/>
      </c>
      <c r="H575" s="18" t="n">
        <f aca="false">IF($F575="",0,ROUND($F575*$G575,0))</f>
        <v>0</v>
      </c>
      <c r="I575" s="18" t="n">
        <f aca="false">IF($H575="",0,ROUND($H575*AdatFaizOran/AdatYilGunSayisi,2))</f>
        <v>0</v>
      </c>
      <c r="J575" s="22"/>
    </row>
    <row r="576" customFormat="false" ht="15" hidden="false" customHeight="false" outlineLevel="0" collapsed="false">
      <c r="A576" s="21"/>
      <c r="B576" s="22"/>
      <c r="C576" s="22"/>
      <c r="D576" s="23"/>
      <c r="E576" s="20" t="str">
        <f aca="false">IF($A576="","",IF($C576="Borç",-$D576,$D576))</f>
        <v/>
      </c>
      <c r="F576" s="18" t="str">
        <f aca="false">IF($A576="","",IFERROR(IF(INDEX(tblOrtak[Ortak Adı],ROW($A576)-ROW(tblOrtak[[#Headers],[Tarih]])-1)=$B576,INDEX(tblOrtak[Bakiye (₺)],ROW($A576)-ROW(tblOrtak[[#Headers],[Tarih]])-1)+$E576,$E576),$E576))</f>
        <v/>
      </c>
      <c r="G576" s="19" t="str">
        <f aca="false">IF($A576="","",IFERROR(IF(INDEX(tblOrtak[Tarih],ROW($A576)-ROW(tblOrtak[[#Headers],[Tarih]])+1)=0,RaporTarihi,INDEX(tblOrtak[Tarih],ROW($A576)-ROW(tblOrtak[[#Headers],[Tarih]])+1))-$A576,RaporTarihi-$A576))</f>
        <v/>
      </c>
      <c r="H576" s="18" t="n">
        <f aca="false">IF($F576="",0,ROUND($F576*$G576,0))</f>
        <v>0</v>
      </c>
      <c r="I576" s="18" t="n">
        <f aca="false">IF($H576="",0,ROUND($H576*AdatFaizOran/AdatYilGunSayisi,2))</f>
        <v>0</v>
      </c>
      <c r="J576" s="22"/>
    </row>
    <row r="577" customFormat="false" ht="15" hidden="false" customHeight="false" outlineLevel="0" collapsed="false">
      <c r="A577" s="21"/>
      <c r="B577" s="22"/>
      <c r="C577" s="22"/>
      <c r="D577" s="23"/>
      <c r="E577" s="20" t="str">
        <f aca="false">IF($A577="","",IF($C577="Borç",-$D577,$D577))</f>
        <v/>
      </c>
      <c r="F577" s="18" t="str">
        <f aca="false">IF($A577="","",IFERROR(IF(INDEX(tblOrtak[Ortak Adı],ROW($A577)-ROW(tblOrtak[[#Headers],[Tarih]])-1)=$B577,INDEX(tblOrtak[Bakiye (₺)],ROW($A577)-ROW(tblOrtak[[#Headers],[Tarih]])-1)+$E577,$E577),$E577))</f>
        <v/>
      </c>
      <c r="G577" s="19" t="str">
        <f aca="false">IF($A577="","",IFERROR(IF(INDEX(tblOrtak[Tarih],ROW($A577)-ROW(tblOrtak[[#Headers],[Tarih]])+1)=0,RaporTarihi,INDEX(tblOrtak[Tarih],ROW($A577)-ROW(tblOrtak[[#Headers],[Tarih]])+1))-$A577,RaporTarihi-$A577))</f>
        <v/>
      </c>
      <c r="H577" s="18" t="n">
        <f aca="false">IF($F577="",0,ROUND($F577*$G577,0))</f>
        <v>0</v>
      </c>
      <c r="I577" s="18" t="n">
        <f aca="false">IF($H577="",0,ROUND($H577*AdatFaizOran/AdatYilGunSayisi,2))</f>
        <v>0</v>
      </c>
      <c r="J577" s="22"/>
    </row>
    <row r="578" customFormat="false" ht="15" hidden="false" customHeight="false" outlineLevel="0" collapsed="false">
      <c r="A578" s="21"/>
      <c r="B578" s="22"/>
      <c r="C578" s="22"/>
      <c r="D578" s="23"/>
      <c r="E578" s="20" t="str">
        <f aca="false">IF($A578="","",IF($C578="Borç",-$D578,$D578))</f>
        <v/>
      </c>
      <c r="F578" s="18" t="str">
        <f aca="false">IF($A578="","",IFERROR(IF(INDEX(tblOrtak[Ortak Adı],ROW($A578)-ROW(tblOrtak[[#Headers],[Tarih]])-1)=$B578,INDEX(tblOrtak[Bakiye (₺)],ROW($A578)-ROW(tblOrtak[[#Headers],[Tarih]])-1)+$E578,$E578),$E578))</f>
        <v/>
      </c>
      <c r="G578" s="19" t="str">
        <f aca="false">IF($A578="","",IFERROR(IF(INDEX(tblOrtak[Tarih],ROW($A578)-ROW(tblOrtak[[#Headers],[Tarih]])+1)=0,RaporTarihi,INDEX(tblOrtak[Tarih],ROW($A578)-ROW(tblOrtak[[#Headers],[Tarih]])+1))-$A578,RaporTarihi-$A578))</f>
        <v/>
      </c>
      <c r="H578" s="18" t="n">
        <f aca="false">IF($F578="",0,ROUND($F578*$G578,0))</f>
        <v>0</v>
      </c>
      <c r="I578" s="18" t="n">
        <f aca="false">IF($H578="",0,ROUND($H578*AdatFaizOran/AdatYilGunSayisi,2))</f>
        <v>0</v>
      </c>
      <c r="J578" s="22"/>
    </row>
    <row r="579" customFormat="false" ht="15" hidden="false" customHeight="false" outlineLevel="0" collapsed="false">
      <c r="A579" s="21"/>
      <c r="B579" s="22"/>
      <c r="C579" s="22"/>
      <c r="D579" s="23"/>
      <c r="E579" s="20" t="str">
        <f aca="false">IF($A579="","",IF($C579="Borç",-$D579,$D579))</f>
        <v/>
      </c>
      <c r="F579" s="18" t="str">
        <f aca="false">IF($A579="","",IFERROR(IF(INDEX(tblOrtak[Ortak Adı],ROW($A579)-ROW(tblOrtak[[#Headers],[Tarih]])-1)=$B579,INDEX(tblOrtak[Bakiye (₺)],ROW($A579)-ROW(tblOrtak[[#Headers],[Tarih]])-1)+$E579,$E579),$E579))</f>
        <v/>
      </c>
      <c r="G579" s="19" t="str">
        <f aca="false">IF($A579="","",IFERROR(IF(INDEX(tblOrtak[Tarih],ROW($A579)-ROW(tblOrtak[[#Headers],[Tarih]])+1)=0,RaporTarihi,INDEX(tblOrtak[Tarih],ROW($A579)-ROW(tblOrtak[[#Headers],[Tarih]])+1))-$A579,RaporTarihi-$A579))</f>
        <v/>
      </c>
      <c r="H579" s="18" t="n">
        <f aca="false">IF($F579="",0,ROUND($F579*$G579,0))</f>
        <v>0</v>
      </c>
      <c r="I579" s="18" t="n">
        <f aca="false">IF($H579="",0,ROUND($H579*AdatFaizOran/AdatYilGunSayisi,2))</f>
        <v>0</v>
      </c>
      <c r="J579" s="22"/>
    </row>
    <row r="580" customFormat="false" ht="15" hidden="false" customHeight="false" outlineLevel="0" collapsed="false">
      <c r="A580" s="21"/>
      <c r="B580" s="22"/>
      <c r="C580" s="22"/>
      <c r="D580" s="23"/>
      <c r="E580" s="20" t="str">
        <f aca="false">IF($A580="","",IF($C580="Borç",-$D580,$D580))</f>
        <v/>
      </c>
      <c r="F580" s="18" t="str">
        <f aca="false">IF($A580="","",IFERROR(IF(INDEX(tblOrtak[Ortak Adı],ROW($A580)-ROW(tblOrtak[[#Headers],[Tarih]])-1)=$B580,INDEX(tblOrtak[Bakiye (₺)],ROW($A580)-ROW(tblOrtak[[#Headers],[Tarih]])-1)+$E580,$E580),$E580))</f>
        <v/>
      </c>
      <c r="G580" s="19" t="str">
        <f aca="false">IF($A580="","",IFERROR(IF(INDEX(tblOrtak[Tarih],ROW($A580)-ROW(tblOrtak[[#Headers],[Tarih]])+1)=0,RaporTarihi,INDEX(tblOrtak[Tarih],ROW($A580)-ROW(tblOrtak[[#Headers],[Tarih]])+1))-$A580,RaporTarihi-$A580))</f>
        <v/>
      </c>
      <c r="H580" s="18" t="n">
        <f aca="false">IF($F580="",0,ROUND($F580*$G580,0))</f>
        <v>0</v>
      </c>
      <c r="I580" s="18" t="n">
        <f aca="false">IF($H580="",0,ROUND($H580*AdatFaizOran/AdatYilGunSayisi,2))</f>
        <v>0</v>
      </c>
      <c r="J580" s="22"/>
    </row>
    <row r="581" customFormat="false" ht="15" hidden="false" customHeight="false" outlineLevel="0" collapsed="false">
      <c r="A581" s="21"/>
      <c r="B581" s="22"/>
      <c r="C581" s="22"/>
      <c r="D581" s="23"/>
      <c r="E581" s="20" t="str">
        <f aca="false">IF($A581="","",IF($C581="Borç",-$D581,$D581))</f>
        <v/>
      </c>
      <c r="F581" s="18" t="str">
        <f aca="false">IF($A581="","",IFERROR(IF(INDEX(tblOrtak[Ortak Adı],ROW($A581)-ROW(tblOrtak[[#Headers],[Tarih]])-1)=$B581,INDEX(tblOrtak[Bakiye (₺)],ROW($A581)-ROW(tblOrtak[[#Headers],[Tarih]])-1)+$E581,$E581),$E581))</f>
        <v/>
      </c>
      <c r="G581" s="19" t="str">
        <f aca="false">IF($A581="","",IFERROR(IF(INDEX(tblOrtak[Tarih],ROW($A581)-ROW(tblOrtak[[#Headers],[Tarih]])+1)=0,RaporTarihi,INDEX(tblOrtak[Tarih],ROW($A581)-ROW(tblOrtak[[#Headers],[Tarih]])+1))-$A581,RaporTarihi-$A581))</f>
        <v/>
      </c>
      <c r="H581" s="18" t="n">
        <f aca="false">IF($F581="",0,ROUND($F581*$G581,0))</f>
        <v>0</v>
      </c>
      <c r="I581" s="18" t="n">
        <f aca="false">IF($H581="",0,ROUND($H581*AdatFaizOran/AdatYilGunSayisi,2))</f>
        <v>0</v>
      </c>
      <c r="J581" s="22"/>
    </row>
    <row r="582" customFormat="false" ht="15" hidden="false" customHeight="false" outlineLevel="0" collapsed="false">
      <c r="A582" s="21"/>
      <c r="B582" s="22"/>
      <c r="C582" s="22"/>
      <c r="D582" s="23"/>
      <c r="E582" s="20" t="str">
        <f aca="false">IF($A582="","",IF($C582="Borç",-$D582,$D582))</f>
        <v/>
      </c>
      <c r="F582" s="18" t="str">
        <f aca="false">IF($A582="","",IFERROR(IF(INDEX(tblOrtak[Ortak Adı],ROW($A582)-ROW(tblOrtak[[#Headers],[Tarih]])-1)=$B582,INDEX(tblOrtak[Bakiye (₺)],ROW($A582)-ROW(tblOrtak[[#Headers],[Tarih]])-1)+$E582,$E582),$E582))</f>
        <v/>
      </c>
      <c r="G582" s="19" t="str">
        <f aca="false">IF($A582="","",IFERROR(IF(INDEX(tblOrtak[Tarih],ROW($A582)-ROW(tblOrtak[[#Headers],[Tarih]])+1)=0,RaporTarihi,INDEX(tblOrtak[Tarih],ROW($A582)-ROW(tblOrtak[[#Headers],[Tarih]])+1))-$A582,RaporTarihi-$A582))</f>
        <v/>
      </c>
      <c r="H582" s="18" t="n">
        <f aca="false">IF($F582="",0,ROUND($F582*$G582,0))</f>
        <v>0</v>
      </c>
      <c r="I582" s="18" t="n">
        <f aca="false">IF($H582="",0,ROUND($H582*AdatFaizOran/AdatYilGunSayisi,2))</f>
        <v>0</v>
      </c>
      <c r="J582" s="22"/>
    </row>
    <row r="583" customFormat="false" ht="15" hidden="false" customHeight="false" outlineLevel="0" collapsed="false">
      <c r="A583" s="21"/>
      <c r="B583" s="22"/>
      <c r="C583" s="22"/>
      <c r="D583" s="23"/>
      <c r="E583" s="20" t="str">
        <f aca="false">IF($A583="","",IF($C583="Borç",-$D583,$D583))</f>
        <v/>
      </c>
      <c r="F583" s="18" t="str">
        <f aca="false">IF($A583="","",IFERROR(IF(INDEX(tblOrtak[Ortak Adı],ROW($A583)-ROW(tblOrtak[[#Headers],[Tarih]])-1)=$B583,INDEX(tblOrtak[Bakiye (₺)],ROW($A583)-ROW(tblOrtak[[#Headers],[Tarih]])-1)+$E583,$E583),$E583))</f>
        <v/>
      </c>
      <c r="G583" s="19" t="str">
        <f aca="false">IF($A583="","",IFERROR(IF(INDEX(tblOrtak[Tarih],ROW($A583)-ROW(tblOrtak[[#Headers],[Tarih]])+1)=0,RaporTarihi,INDEX(tblOrtak[Tarih],ROW($A583)-ROW(tblOrtak[[#Headers],[Tarih]])+1))-$A583,RaporTarihi-$A583))</f>
        <v/>
      </c>
      <c r="H583" s="18" t="n">
        <f aca="false">IF($F583="",0,ROUND($F583*$G583,0))</f>
        <v>0</v>
      </c>
      <c r="I583" s="18" t="n">
        <f aca="false">IF($H583="",0,ROUND($H583*AdatFaizOran/AdatYilGunSayisi,2))</f>
        <v>0</v>
      </c>
      <c r="J583" s="22"/>
    </row>
    <row r="584" customFormat="false" ht="15" hidden="false" customHeight="false" outlineLevel="0" collapsed="false">
      <c r="A584" s="21"/>
      <c r="B584" s="22"/>
      <c r="C584" s="22"/>
      <c r="D584" s="23"/>
      <c r="E584" s="20" t="str">
        <f aca="false">IF($A584="","",IF($C584="Borç",-$D584,$D584))</f>
        <v/>
      </c>
      <c r="F584" s="18" t="str">
        <f aca="false">IF($A584="","",IFERROR(IF(INDEX(tblOrtak[Ortak Adı],ROW($A584)-ROW(tblOrtak[[#Headers],[Tarih]])-1)=$B584,INDEX(tblOrtak[Bakiye (₺)],ROW($A584)-ROW(tblOrtak[[#Headers],[Tarih]])-1)+$E584,$E584),$E584))</f>
        <v/>
      </c>
      <c r="G584" s="19" t="str">
        <f aca="false">IF($A584="","",IFERROR(IF(INDEX(tblOrtak[Tarih],ROW($A584)-ROW(tblOrtak[[#Headers],[Tarih]])+1)=0,RaporTarihi,INDEX(tblOrtak[Tarih],ROW($A584)-ROW(tblOrtak[[#Headers],[Tarih]])+1))-$A584,RaporTarihi-$A584))</f>
        <v/>
      </c>
      <c r="H584" s="18" t="n">
        <f aca="false">IF($F584="",0,ROUND($F584*$G584,0))</f>
        <v>0</v>
      </c>
      <c r="I584" s="18" t="n">
        <f aca="false">IF($H584="",0,ROUND($H584*AdatFaizOran/AdatYilGunSayisi,2))</f>
        <v>0</v>
      </c>
      <c r="J584" s="22"/>
    </row>
    <row r="585" customFormat="false" ht="15" hidden="false" customHeight="false" outlineLevel="0" collapsed="false">
      <c r="A585" s="21"/>
      <c r="B585" s="22"/>
      <c r="C585" s="22"/>
      <c r="D585" s="23"/>
      <c r="E585" s="20" t="str">
        <f aca="false">IF($A585="","",IF($C585="Borç",-$D585,$D585))</f>
        <v/>
      </c>
      <c r="F585" s="18" t="str">
        <f aca="false">IF($A585="","",IFERROR(IF(INDEX(tblOrtak[Ortak Adı],ROW($A585)-ROW(tblOrtak[[#Headers],[Tarih]])-1)=$B585,INDEX(tblOrtak[Bakiye (₺)],ROW($A585)-ROW(tblOrtak[[#Headers],[Tarih]])-1)+$E585,$E585),$E585))</f>
        <v/>
      </c>
      <c r="G585" s="19" t="str">
        <f aca="false">IF($A585="","",IFERROR(IF(INDEX(tblOrtak[Tarih],ROW($A585)-ROW(tblOrtak[[#Headers],[Tarih]])+1)=0,RaporTarihi,INDEX(tblOrtak[Tarih],ROW($A585)-ROW(tblOrtak[[#Headers],[Tarih]])+1))-$A585,RaporTarihi-$A585))</f>
        <v/>
      </c>
      <c r="H585" s="18" t="n">
        <f aca="false">IF($F585="",0,ROUND($F585*$G585,0))</f>
        <v>0</v>
      </c>
      <c r="I585" s="18" t="n">
        <f aca="false">IF($H585="",0,ROUND($H585*AdatFaizOran/AdatYilGunSayisi,2))</f>
        <v>0</v>
      </c>
      <c r="J585" s="22"/>
    </row>
    <row r="586" customFormat="false" ht="15" hidden="false" customHeight="false" outlineLevel="0" collapsed="false">
      <c r="A586" s="21"/>
      <c r="B586" s="22"/>
      <c r="C586" s="22"/>
      <c r="D586" s="23"/>
      <c r="E586" s="20" t="str">
        <f aca="false">IF($A586="","",IF($C586="Borç",-$D586,$D586))</f>
        <v/>
      </c>
      <c r="F586" s="18" t="str">
        <f aca="false">IF($A586="","",IFERROR(IF(INDEX(tblOrtak[Ortak Adı],ROW($A586)-ROW(tblOrtak[[#Headers],[Tarih]])-1)=$B586,INDEX(tblOrtak[Bakiye (₺)],ROW($A586)-ROW(tblOrtak[[#Headers],[Tarih]])-1)+$E586,$E586),$E586))</f>
        <v/>
      </c>
      <c r="G586" s="19" t="str">
        <f aca="false">IF($A586="","",IFERROR(IF(INDEX(tblOrtak[Tarih],ROW($A586)-ROW(tblOrtak[[#Headers],[Tarih]])+1)=0,RaporTarihi,INDEX(tblOrtak[Tarih],ROW($A586)-ROW(tblOrtak[[#Headers],[Tarih]])+1))-$A586,RaporTarihi-$A586))</f>
        <v/>
      </c>
      <c r="H586" s="18" t="n">
        <f aca="false">IF($F586="",0,ROUND($F586*$G586,0))</f>
        <v>0</v>
      </c>
      <c r="I586" s="18" t="n">
        <f aca="false">IF($H586="",0,ROUND($H586*AdatFaizOran/AdatYilGunSayisi,2))</f>
        <v>0</v>
      </c>
      <c r="J586" s="22"/>
    </row>
    <row r="587" customFormat="false" ht="15" hidden="false" customHeight="false" outlineLevel="0" collapsed="false">
      <c r="A587" s="21"/>
      <c r="B587" s="22"/>
      <c r="C587" s="22"/>
      <c r="D587" s="23"/>
      <c r="E587" s="20" t="str">
        <f aca="false">IF($A587="","",IF($C587="Borç",-$D587,$D587))</f>
        <v/>
      </c>
      <c r="F587" s="18" t="str">
        <f aca="false">IF($A587="","",IFERROR(IF(INDEX(tblOrtak[Ortak Adı],ROW($A587)-ROW(tblOrtak[[#Headers],[Tarih]])-1)=$B587,INDEX(tblOrtak[Bakiye (₺)],ROW($A587)-ROW(tblOrtak[[#Headers],[Tarih]])-1)+$E587,$E587),$E587))</f>
        <v/>
      </c>
      <c r="G587" s="19" t="str">
        <f aca="false">IF($A587="","",IFERROR(IF(INDEX(tblOrtak[Tarih],ROW($A587)-ROW(tblOrtak[[#Headers],[Tarih]])+1)=0,RaporTarihi,INDEX(tblOrtak[Tarih],ROW($A587)-ROW(tblOrtak[[#Headers],[Tarih]])+1))-$A587,RaporTarihi-$A587))</f>
        <v/>
      </c>
      <c r="H587" s="18" t="n">
        <f aca="false">IF($F587="",0,ROUND($F587*$G587,0))</f>
        <v>0</v>
      </c>
      <c r="I587" s="18" t="n">
        <f aca="false">IF($H587="",0,ROUND($H587*AdatFaizOran/AdatYilGunSayisi,2))</f>
        <v>0</v>
      </c>
      <c r="J587" s="22"/>
    </row>
    <row r="588" customFormat="false" ht="15" hidden="false" customHeight="false" outlineLevel="0" collapsed="false">
      <c r="A588" s="21"/>
      <c r="B588" s="22"/>
      <c r="C588" s="22"/>
      <c r="D588" s="23"/>
      <c r="E588" s="20" t="str">
        <f aca="false">IF($A588="","",IF($C588="Borç",-$D588,$D588))</f>
        <v/>
      </c>
      <c r="F588" s="18" t="str">
        <f aca="false">IF($A588="","",IFERROR(IF(INDEX(tblOrtak[Ortak Adı],ROW($A588)-ROW(tblOrtak[[#Headers],[Tarih]])-1)=$B588,INDEX(tblOrtak[Bakiye (₺)],ROW($A588)-ROW(tblOrtak[[#Headers],[Tarih]])-1)+$E588,$E588),$E588))</f>
        <v/>
      </c>
      <c r="G588" s="19" t="str">
        <f aca="false">IF($A588="","",IFERROR(IF(INDEX(tblOrtak[Tarih],ROW($A588)-ROW(tblOrtak[[#Headers],[Tarih]])+1)=0,RaporTarihi,INDEX(tblOrtak[Tarih],ROW($A588)-ROW(tblOrtak[[#Headers],[Tarih]])+1))-$A588,RaporTarihi-$A588))</f>
        <v/>
      </c>
      <c r="H588" s="18" t="n">
        <f aca="false">IF($F588="",0,ROUND($F588*$G588,0))</f>
        <v>0</v>
      </c>
      <c r="I588" s="18" t="n">
        <f aca="false">IF($H588="",0,ROUND($H588*AdatFaizOran/AdatYilGunSayisi,2))</f>
        <v>0</v>
      </c>
      <c r="J588" s="22"/>
    </row>
    <row r="589" customFormat="false" ht="15" hidden="false" customHeight="false" outlineLevel="0" collapsed="false">
      <c r="A589" s="21"/>
      <c r="B589" s="22"/>
      <c r="C589" s="22"/>
      <c r="D589" s="23"/>
      <c r="E589" s="20" t="str">
        <f aca="false">IF($A589="","",IF($C589="Borç",-$D589,$D589))</f>
        <v/>
      </c>
      <c r="F589" s="18" t="str">
        <f aca="false">IF($A589="","",IFERROR(IF(INDEX(tblOrtak[Ortak Adı],ROW($A589)-ROW(tblOrtak[[#Headers],[Tarih]])-1)=$B589,INDEX(tblOrtak[Bakiye (₺)],ROW($A589)-ROW(tblOrtak[[#Headers],[Tarih]])-1)+$E589,$E589),$E589))</f>
        <v/>
      </c>
      <c r="G589" s="19" t="str">
        <f aca="false">IF($A589="","",IFERROR(IF(INDEX(tblOrtak[Tarih],ROW($A589)-ROW(tblOrtak[[#Headers],[Tarih]])+1)=0,RaporTarihi,INDEX(tblOrtak[Tarih],ROW($A589)-ROW(tblOrtak[[#Headers],[Tarih]])+1))-$A589,RaporTarihi-$A589))</f>
        <v/>
      </c>
      <c r="H589" s="18" t="n">
        <f aca="false">IF($F589="",0,ROUND($F589*$G589,0))</f>
        <v>0</v>
      </c>
      <c r="I589" s="18" t="n">
        <f aca="false">IF($H589="",0,ROUND($H589*AdatFaizOran/AdatYilGunSayisi,2))</f>
        <v>0</v>
      </c>
      <c r="J589" s="22"/>
    </row>
    <row r="590" customFormat="false" ht="15" hidden="false" customHeight="false" outlineLevel="0" collapsed="false">
      <c r="A590" s="21"/>
      <c r="B590" s="22"/>
      <c r="C590" s="22"/>
      <c r="D590" s="23"/>
      <c r="E590" s="20" t="str">
        <f aca="false">IF($A590="","",IF($C590="Borç",-$D590,$D590))</f>
        <v/>
      </c>
      <c r="F590" s="18" t="str">
        <f aca="false">IF($A590="","",IFERROR(IF(INDEX(tblOrtak[Ortak Adı],ROW($A590)-ROW(tblOrtak[[#Headers],[Tarih]])-1)=$B590,INDEX(tblOrtak[Bakiye (₺)],ROW($A590)-ROW(tblOrtak[[#Headers],[Tarih]])-1)+$E590,$E590),$E590))</f>
        <v/>
      </c>
      <c r="G590" s="19" t="str">
        <f aca="false">IF($A590="","",IFERROR(IF(INDEX(tblOrtak[Tarih],ROW($A590)-ROW(tblOrtak[[#Headers],[Tarih]])+1)=0,RaporTarihi,INDEX(tblOrtak[Tarih],ROW($A590)-ROW(tblOrtak[[#Headers],[Tarih]])+1))-$A590,RaporTarihi-$A590))</f>
        <v/>
      </c>
      <c r="H590" s="18" t="n">
        <f aca="false">IF($F590="",0,ROUND($F590*$G590,0))</f>
        <v>0</v>
      </c>
      <c r="I590" s="18" t="n">
        <f aca="false">IF($H590="",0,ROUND($H590*AdatFaizOran/AdatYilGunSayisi,2))</f>
        <v>0</v>
      </c>
      <c r="J590" s="22"/>
    </row>
    <row r="591" customFormat="false" ht="15" hidden="false" customHeight="false" outlineLevel="0" collapsed="false">
      <c r="A591" s="21"/>
      <c r="B591" s="22"/>
      <c r="C591" s="22"/>
      <c r="D591" s="23"/>
      <c r="E591" s="20" t="str">
        <f aca="false">IF($A591="","",IF($C591="Borç",-$D591,$D591))</f>
        <v/>
      </c>
      <c r="F591" s="18" t="str">
        <f aca="false">IF($A591="","",IFERROR(IF(INDEX(tblOrtak[Ortak Adı],ROW($A591)-ROW(tblOrtak[[#Headers],[Tarih]])-1)=$B591,INDEX(tblOrtak[Bakiye (₺)],ROW($A591)-ROW(tblOrtak[[#Headers],[Tarih]])-1)+$E591,$E591),$E591))</f>
        <v/>
      </c>
      <c r="G591" s="19" t="str">
        <f aca="false">IF($A591="","",IFERROR(IF(INDEX(tblOrtak[Tarih],ROW($A591)-ROW(tblOrtak[[#Headers],[Tarih]])+1)=0,RaporTarihi,INDEX(tblOrtak[Tarih],ROW($A591)-ROW(tblOrtak[[#Headers],[Tarih]])+1))-$A591,RaporTarihi-$A591))</f>
        <v/>
      </c>
      <c r="H591" s="18" t="n">
        <f aca="false">IF($F591="",0,ROUND($F591*$G591,0))</f>
        <v>0</v>
      </c>
      <c r="I591" s="18" t="n">
        <f aca="false">IF($H591="",0,ROUND($H591*AdatFaizOran/AdatYilGunSayisi,2))</f>
        <v>0</v>
      </c>
      <c r="J591" s="22"/>
    </row>
    <row r="592" customFormat="false" ht="15" hidden="false" customHeight="false" outlineLevel="0" collapsed="false">
      <c r="A592" s="21"/>
      <c r="B592" s="22"/>
      <c r="C592" s="22"/>
      <c r="D592" s="23"/>
      <c r="E592" s="20" t="str">
        <f aca="false">IF($A592="","",IF($C592="Borç",-$D592,$D592))</f>
        <v/>
      </c>
      <c r="F592" s="18" t="str">
        <f aca="false">IF($A592="","",IFERROR(IF(INDEX(tblOrtak[Ortak Adı],ROW($A592)-ROW(tblOrtak[[#Headers],[Tarih]])-1)=$B592,INDEX(tblOrtak[Bakiye (₺)],ROW($A592)-ROW(tblOrtak[[#Headers],[Tarih]])-1)+$E592,$E592),$E592))</f>
        <v/>
      </c>
      <c r="G592" s="19" t="str">
        <f aca="false">IF($A592="","",IFERROR(IF(INDEX(tblOrtak[Tarih],ROW($A592)-ROW(tblOrtak[[#Headers],[Tarih]])+1)=0,RaporTarihi,INDEX(tblOrtak[Tarih],ROW($A592)-ROW(tblOrtak[[#Headers],[Tarih]])+1))-$A592,RaporTarihi-$A592))</f>
        <v/>
      </c>
      <c r="H592" s="18" t="n">
        <f aca="false">IF($F592="",0,ROUND($F592*$G592,0))</f>
        <v>0</v>
      </c>
      <c r="I592" s="18" t="n">
        <f aca="false">IF($H592="",0,ROUND($H592*AdatFaizOran/AdatYilGunSayisi,2))</f>
        <v>0</v>
      </c>
      <c r="J592" s="22"/>
    </row>
    <row r="593" customFormat="false" ht="15" hidden="false" customHeight="false" outlineLevel="0" collapsed="false">
      <c r="A593" s="21"/>
      <c r="B593" s="22"/>
      <c r="C593" s="22"/>
      <c r="D593" s="23"/>
      <c r="E593" s="20" t="str">
        <f aca="false">IF($A593="","",IF($C593="Borç",-$D593,$D593))</f>
        <v/>
      </c>
      <c r="F593" s="18" t="str">
        <f aca="false">IF($A593="","",IFERROR(IF(INDEX(tblOrtak[Ortak Adı],ROW($A593)-ROW(tblOrtak[[#Headers],[Tarih]])-1)=$B593,INDEX(tblOrtak[Bakiye (₺)],ROW($A593)-ROW(tblOrtak[[#Headers],[Tarih]])-1)+$E593,$E593),$E593))</f>
        <v/>
      </c>
      <c r="G593" s="19" t="str">
        <f aca="false">IF($A593="","",IFERROR(IF(INDEX(tblOrtak[Tarih],ROW($A593)-ROW(tblOrtak[[#Headers],[Tarih]])+1)=0,RaporTarihi,INDEX(tblOrtak[Tarih],ROW($A593)-ROW(tblOrtak[[#Headers],[Tarih]])+1))-$A593,RaporTarihi-$A593))</f>
        <v/>
      </c>
      <c r="H593" s="18" t="n">
        <f aca="false">IF($F593="",0,ROUND($F593*$G593,0))</f>
        <v>0</v>
      </c>
      <c r="I593" s="18" t="n">
        <f aca="false">IF($H593="",0,ROUND($H593*AdatFaizOran/AdatYilGunSayisi,2))</f>
        <v>0</v>
      </c>
      <c r="J593" s="22"/>
    </row>
    <row r="594" customFormat="false" ht="15" hidden="false" customHeight="false" outlineLevel="0" collapsed="false">
      <c r="A594" s="21"/>
      <c r="B594" s="22"/>
      <c r="C594" s="22"/>
      <c r="D594" s="23"/>
      <c r="E594" s="20" t="str">
        <f aca="false">IF($A594="","",IF($C594="Borç",-$D594,$D594))</f>
        <v/>
      </c>
      <c r="F594" s="18" t="str">
        <f aca="false">IF($A594="","",IFERROR(IF(INDEX(tblOrtak[Ortak Adı],ROW($A594)-ROW(tblOrtak[[#Headers],[Tarih]])-1)=$B594,INDEX(tblOrtak[Bakiye (₺)],ROW($A594)-ROW(tblOrtak[[#Headers],[Tarih]])-1)+$E594,$E594),$E594))</f>
        <v/>
      </c>
      <c r="G594" s="19" t="str">
        <f aca="false">IF($A594="","",IFERROR(IF(INDEX(tblOrtak[Tarih],ROW($A594)-ROW(tblOrtak[[#Headers],[Tarih]])+1)=0,RaporTarihi,INDEX(tblOrtak[Tarih],ROW($A594)-ROW(tblOrtak[[#Headers],[Tarih]])+1))-$A594,RaporTarihi-$A594))</f>
        <v/>
      </c>
      <c r="H594" s="18" t="n">
        <f aca="false">IF($F594="",0,ROUND($F594*$G594,0))</f>
        <v>0</v>
      </c>
      <c r="I594" s="18" t="n">
        <f aca="false">IF($H594="",0,ROUND($H594*AdatFaizOran/AdatYilGunSayisi,2))</f>
        <v>0</v>
      </c>
      <c r="J594" s="22"/>
    </row>
    <row r="595" customFormat="false" ht="15" hidden="false" customHeight="false" outlineLevel="0" collapsed="false">
      <c r="A595" s="21"/>
      <c r="B595" s="22"/>
      <c r="C595" s="22"/>
      <c r="D595" s="23"/>
      <c r="E595" s="20" t="str">
        <f aca="false">IF($A595="","",IF($C595="Borç",-$D595,$D595))</f>
        <v/>
      </c>
      <c r="F595" s="18" t="str">
        <f aca="false">IF($A595="","",IFERROR(IF(INDEX(tblOrtak[Ortak Adı],ROW($A595)-ROW(tblOrtak[[#Headers],[Tarih]])-1)=$B595,INDEX(tblOrtak[Bakiye (₺)],ROW($A595)-ROW(tblOrtak[[#Headers],[Tarih]])-1)+$E595,$E595),$E595))</f>
        <v/>
      </c>
      <c r="G595" s="19" t="str">
        <f aca="false">IF($A595="","",IFERROR(IF(INDEX(tblOrtak[Tarih],ROW($A595)-ROW(tblOrtak[[#Headers],[Tarih]])+1)=0,RaporTarihi,INDEX(tblOrtak[Tarih],ROW($A595)-ROW(tblOrtak[[#Headers],[Tarih]])+1))-$A595,RaporTarihi-$A595))</f>
        <v/>
      </c>
      <c r="H595" s="18" t="n">
        <f aca="false">IF($F595="",0,ROUND($F595*$G595,0))</f>
        <v>0</v>
      </c>
      <c r="I595" s="18" t="n">
        <f aca="false">IF($H595="",0,ROUND($H595*AdatFaizOran/AdatYilGunSayisi,2))</f>
        <v>0</v>
      </c>
      <c r="J595" s="22"/>
    </row>
    <row r="596" customFormat="false" ht="15" hidden="false" customHeight="false" outlineLevel="0" collapsed="false">
      <c r="A596" s="21"/>
      <c r="B596" s="22"/>
      <c r="C596" s="22"/>
      <c r="D596" s="23"/>
      <c r="E596" s="20" t="str">
        <f aca="false">IF($A596="","",IF($C596="Borç",-$D596,$D596))</f>
        <v/>
      </c>
      <c r="F596" s="18" t="str">
        <f aca="false">IF($A596="","",IFERROR(IF(INDEX(tblOrtak[Ortak Adı],ROW($A596)-ROW(tblOrtak[[#Headers],[Tarih]])-1)=$B596,INDEX(tblOrtak[Bakiye (₺)],ROW($A596)-ROW(tblOrtak[[#Headers],[Tarih]])-1)+$E596,$E596),$E596))</f>
        <v/>
      </c>
      <c r="G596" s="19" t="str">
        <f aca="false">IF($A596="","",IFERROR(IF(INDEX(tblOrtak[Tarih],ROW($A596)-ROW(tblOrtak[[#Headers],[Tarih]])+1)=0,RaporTarihi,INDEX(tblOrtak[Tarih],ROW($A596)-ROW(tblOrtak[[#Headers],[Tarih]])+1))-$A596,RaporTarihi-$A596))</f>
        <v/>
      </c>
      <c r="H596" s="18" t="n">
        <f aca="false">IF($F596="",0,ROUND($F596*$G596,0))</f>
        <v>0</v>
      </c>
      <c r="I596" s="18" t="n">
        <f aca="false">IF($H596="",0,ROUND($H596*AdatFaizOran/AdatYilGunSayisi,2))</f>
        <v>0</v>
      </c>
      <c r="J596" s="22"/>
    </row>
    <row r="597" customFormat="false" ht="15" hidden="false" customHeight="false" outlineLevel="0" collapsed="false">
      <c r="A597" s="21"/>
      <c r="B597" s="22"/>
      <c r="C597" s="22"/>
      <c r="D597" s="23"/>
      <c r="E597" s="20" t="str">
        <f aca="false">IF($A597="","",IF($C597="Borç",-$D597,$D597))</f>
        <v/>
      </c>
      <c r="F597" s="18" t="str">
        <f aca="false">IF($A597="","",IFERROR(IF(INDEX(tblOrtak[Ortak Adı],ROW($A597)-ROW(tblOrtak[[#Headers],[Tarih]])-1)=$B597,INDEX(tblOrtak[Bakiye (₺)],ROW($A597)-ROW(tblOrtak[[#Headers],[Tarih]])-1)+$E597,$E597),$E597))</f>
        <v/>
      </c>
      <c r="G597" s="19" t="str">
        <f aca="false">IF($A597="","",IFERROR(IF(INDEX(tblOrtak[Tarih],ROW($A597)-ROW(tblOrtak[[#Headers],[Tarih]])+1)=0,RaporTarihi,INDEX(tblOrtak[Tarih],ROW($A597)-ROW(tblOrtak[[#Headers],[Tarih]])+1))-$A597,RaporTarihi-$A597))</f>
        <v/>
      </c>
      <c r="H597" s="18" t="n">
        <f aca="false">IF($F597="",0,ROUND($F597*$G597,0))</f>
        <v>0</v>
      </c>
      <c r="I597" s="18" t="n">
        <f aca="false">IF($H597="",0,ROUND($H597*AdatFaizOran/AdatYilGunSayisi,2))</f>
        <v>0</v>
      </c>
      <c r="J597" s="22"/>
    </row>
    <row r="598" customFormat="false" ht="15" hidden="false" customHeight="false" outlineLevel="0" collapsed="false">
      <c r="A598" s="21"/>
      <c r="B598" s="22"/>
      <c r="C598" s="22"/>
      <c r="D598" s="23"/>
      <c r="E598" s="20" t="str">
        <f aca="false">IF($A598="","",IF($C598="Borç",-$D598,$D598))</f>
        <v/>
      </c>
      <c r="F598" s="18" t="str">
        <f aca="false">IF($A598="","",IFERROR(IF(INDEX(tblOrtak[Ortak Adı],ROW($A598)-ROW(tblOrtak[[#Headers],[Tarih]])-1)=$B598,INDEX(tblOrtak[Bakiye (₺)],ROW($A598)-ROW(tblOrtak[[#Headers],[Tarih]])-1)+$E598,$E598),$E598))</f>
        <v/>
      </c>
      <c r="G598" s="19" t="str">
        <f aca="false">IF($A598="","",IFERROR(IF(INDEX(tblOrtak[Tarih],ROW($A598)-ROW(tblOrtak[[#Headers],[Tarih]])+1)=0,RaporTarihi,INDEX(tblOrtak[Tarih],ROW($A598)-ROW(tblOrtak[[#Headers],[Tarih]])+1))-$A598,RaporTarihi-$A598))</f>
        <v/>
      </c>
      <c r="H598" s="18" t="n">
        <f aca="false">IF($F598="",0,ROUND($F598*$G598,0))</f>
        <v>0</v>
      </c>
      <c r="I598" s="18" t="n">
        <f aca="false">IF($H598="",0,ROUND($H598*AdatFaizOran/AdatYilGunSayisi,2))</f>
        <v>0</v>
      </c>
      <c r="J598" s="22"/>
    </row>
    <row r="599" customFormat="false" ht="15" hidden="false" customHeight="false" outlineLevel="0" collapsed="false">
      <c r="A599" s="21"/>
      <c r="B599" s="22"/>
      <c r="C599" s="22"/>
      <c r="D599" s="23"/>
      <c r="E599" s="20" t="str">
        <f aca="false">IF($A599="","",IF($C599="Borç",-$D599,$D599))</f>
        <v/>
      </c>
      <c r="F599" s="18" t="str">
        <f aca="false">IF($A599="","",IFERROR(IF(INDEX(tblOrtak[Ortak Adı],ROW($A599)-ROW(tblOrtak[[#Headers],[Tarih]])-1)=$B599,INDEX(tblOrtak[Bakiye (₺)],ROW($A599)-ROW(tblOrtak[[#Headers],[Tarih]])-1)+$E599,$E599),$E599))</f>
        <v/>
      </c>
      <c r="G599" s="19" t="str">
        <f aca="false">IF($A599="","",IFERROR(IF(INDEX(tblOrtak[Tarih],ROW($A599)-ROW(tblOrtak[[#Headers],[Tarih]])+1)=0,RaporTarihi,INDEX(tblOrtak[Tarih],ROW($A599)-ROW(tblOrtak[[#Headers],[Tarih]])+1))-$A599,RaporTarihi-$A599))</f>
        <v/>
      </c>
      <c r="H599" s="18" t="n">
        <f aca="false">IF($F599="",0,ROUND($F599*$G599,0))</f>
        <v>0</v>
      </c>
      <c r="I599" s="18" t="n">
        <f aca="false">IF($H599="",0,ROUND($H599*AdatFaizOran/AdatYilGunSayisi,2))</f>
        <v>0</v>
      </c>
      <c r="J599" s="22"/>
    </row>
    <row r="600" customFormat="false" ht="15" hidden="false" customHeight="false" outlineLevel="0" collapsed="false">
      <c r="A600" s="21"/>
      <c r="B600" s="22"/>
      <c r="C600" s="22"/>
      <c r="D600" s="23"/>
      <c r="E600" s="20" t="str">
        <f aca="false">IF($A600="","",IF($C600="Borç",-$D600,$D600))</f>
        <v/>
      </c>
      <c r="F600" s="18" t="str">
        <f aca="false">IF($A600="","",IFERROR(IF(INDEX(tblOrtak[Ortak Adı],ROW($A600)-ROW(tblOrtak[[#Headers],[Tarih]])-1)=$B600,INDEX(tblOrtak[Bakiye (₺)],ROW($A600)-ROW(tblOrtak[[#Headers],[Tarih]])-1)+$E600,$E600),$E600))</f>
        <v/>
      </c>
      <c r="G600" s="19" t="str">
        <f aca="false">IF($A600="","",IFERROR(IF(INDEX(tblOrtak[Tarih],ROW($A600)-ROW(tblOrtak[[#Headers],[Tarih]])+1)=0,RaporTarihi,INDEX(tblOrtak[Tarih],ROW($A600)-ROW(tblOrtak[[#Headers],[Tarih]])+1))-$A600,RaporTarihi-$A600))</f>
        <v/>
      </c>
      <c r="H600" s="18" t="n">
        <f aca="false">IF($F600="",0,ROUND($F600*$G600,0))</f>
        <v>0</v>
      </c>
      <c r="I600" s="18" t="n">
        <f aca="false">IF($H600="",0,ROUND($H600*AdatFaizOran/AdatYilGunSayisi,2))</f>
        <v>0</v>
      </c>
      <c r="J600" s="22"/>
    </row>
    <row r="601" customFormat="false" ht="15" hidden="false" customHeight="false" outlineLevel="0" collapsed="false">
      <c r="A601" s="21"/>
      <c r="B601" s="22"/>
      <c r="C601" s="22"/>
      <c r="D601" s="23"/>
      <c r="E601" s="20" t="str">
        <f aca="false">IF($A601="","",IF($C601="Borç",-$D601,$D601))</f>
        <v/>
      </c>
      <c r="F601" s="18" t="str">
        <f aca="false">IF($A601="","",IFERROR(IF(INDEX(tblOrtak[Ortak Adı],ROW($A601)-ROW(tblOrtak[[#Headers],[Tarih]])-1)=$B601,INDEX(tblOrtak[Bakiye (₺)],ROW($A601)-ROW(tblOrtak[[#Headers],[Tarih]])-1)+$E601,$E601),$E601))</f>
        <v/>
      </c>
      <c r="G601" s="19" t="str">
        <f aca="false">IF($A601="","",IFERROR(IF(INDEX(tblOrtak[Tarih],ROW($A601)-ROW(tblOrtak[[#Headers],[Tarih]])+1)=0,RaporTarihi,INDEX(tblOrtak[Tarih],ROW($A601)-ROW(tblOrtak[[#Headers],[Tarih]])+1))-$A601,RaporTarihi-$A601))</f>
        <v/>
      </c>
      <c r="H601" s="18" t="n">
        <f aca="false">IF($F601="",0,ROUND($F601*$G601,0))</f>
        <v>0</v>
      </c>
      <c r="I601" s="18" t="n">
        <f aca="false">IF($H601="",0,ROUND($H601*AdatFaizOran/AdatYilGunSayisi,2))</f>
        <v>0</v>
      </c>
      <c r="J601" s="22"/>
    </row>
    <row r="602" customFormat="false" ht="15" hidden="false" customHeight="false" outlineLevel="0" collapsed="false">
      <c r="A602" s="21"/>
      <c r="B602" s="22"/>
      <c r="C602" s="22"/>
      <c r="D602" s="23"/>
      <c r="E602" s="20" t="str">
        <f aca="false">IF($A602="","",IF($C602="Borç",-$D602,$D602))</f>
        <v/>
      </c>
      <c r="F602" s="18" t="str">
        <f aca="false">IF($A602="","",IFERROR(IF(INDEX(tblOrtak[Ortak Adı],ROW($A602)-ROW(tblOrtak[[#Headers],[Tarih]])-1)=$B602,INDEX(tblOrtak[Bakiye (₺)],ROW($A602)-ROW(tblOrtak[[#Headers],[Tarih]])-1)+$E602,$E602),$E602))</f>
        <v/>
      </c>
      <c r="G602" s="19" t="str">
        <f aca="false">IF($A602="","",IFERROR(IF(INDEX(tblOrtak[Tarih],ROW($A602)-ROW(tblOrtak[[#Headers],[Tarih]])+1)=0,RaporTarihi,INDEX(tblOrtak[Tarih],ROW($A602)-ROW(tblOrtak[[#Headers],[Tarih]])+1))-$A602,RaporTarihi-$A602))</f>
        <v/>
      </c>
      <c r="H602" s="18" t="n">
        <f aca="false">IF($F602="",0,ROUND($F602*$G602,0))</f>
        <v>0</v>
      </c>
      <c r="I602" s="18" t="n">
        <f aca="false">IF($H602="",0,ROUND($H602*AdatFaizOran/AdatYilGunSayisi,2))</f>
        <v>0</v>
      </c>
      <c r="J602" s="22"/>
    </row>
    <row r="603" customFormat="false" ht="15" hidden="false" customHeight="false" outlineLevel="0" collapsed="false">
      <c r="A603" s="21"/>
      <c r="B603" s="22"/>
      <c r="C603" s="22"/>
      <c r="D603" s="23"/>
      <c r="E603" s="20" t="str">
        <f aca="false">IF($A603="","",IF($C603="Borç",-$D603,$D603))</f>
        <v/>
      </c>
      <c r="F603" s="18" t="str">
        <f aca="false">IF($A603="","",IFERROR(IF(INDEX(tblOrtak[Ortak Adı],ROW($A603)-ROW(tblOrtak[[#Headers],[Tarih]])-1)=$B603,INDEX(tblOrtak[Bakiye (₺)],ROW($A603)-ROW(tblOrtak[[#Headers],[Tarih]])-1)+$E603,$E603),$E603))</f>
        <v/>
      </c>
      <c r="G603" s="19" t="str">
        <f aca="false">IF($A603="","",IFERROR(IF(INDEX(tblOrtak[Tarih],ROW($A603)-ROW(tblOrtak[[#Headers],[Tarih]])+1)=0,RaporTarihi,INDEX(tblOrtak[Tarih],ROW($A603)-ROW(tblOrtak[[#Headers],[Tarih]])+1))-$A603,RaporTarihi-$A603))</f>
        <v/>
      </c>
      <c r="H603" s="18" t="n">
        <f aca="false">IF($F603="",0,ROUND($F603*$G603,0))</f>
        <v>0</v>
      </c>
      <c r="I603" s="18" t="n">
        <f aca="false">IF($H603="",0,ROUND($H603*AdatFaizOran/AdatYilGunSayisi,2))</f>
        <v>0</v>
      </c>
      <c r="J603" s="22"/>
    </row>
    <row r="604" customFormat="false" ht="15" hidden="false" customHeight="false" outlineLevel="0" collapsed="false">
      <c r="A604" s="21"/>
      <c r="B604" s="22"/>
      <c r="C604" s="22"/>
      <c r="D604" s="23"/>
      <c r="E604" s="20" t="str">
        <f aca="false">IF($A604="","",IF($C604="Borç",-$D604,$D604))</f>
        <v/>
      </c>
      <c r="F604" s="18" t="str">
        <f aca="false">IF($A604="","",IFERROR(IF(INDEX(tblOrtak[Ortak Adı],ROW($A604)-ROW(tblOrtak[[#Headers],[Tarih]])-1)=$B604,INDEX(tblOrtak[Bakiye (₺)],ROW($A604)-ROW(tblOrtak[[#Headers],[Tarih]])-1)+$E604,$E604),$E604))</f>
        <v/>
      </c>
      <c r="G604" s="19" t="str">
        <f aca="false">IF($A604="","",IFERROR(IF(INDEX(tblOrtak[Tarih],ROW($A604)-ROW(tblOrtak[[#Headers],[Tarih]])+1)=0,RaporTarihi,INDEX(tblOrtak[Tarih],ROW($A604)-ROW(tblOrtak[[#Headers],[Tarih]])+1))-$A604,RaporTarihi-$A604))</f>
        <v/>
      </c>
      <c r="H604" s="18" t="n">
        <f aca="false">IF($F604="",0,ROUND($F604*$G604,0))</f>
        <v>0</v>
      </c>
      <c r="I604" s="18" t="n">
        <f aca="false">IF($H604="",0,ROUND($H604*AdatFaizOran/AdatYilGunSayisi,2))</f>
        <v>0</v>
      </c>
      <c r="J604" s="22"/>
    </row>
    <row r="605" customFormat="false" ht="15" hidden="false" customHeight="false" outlineLevel="0" collapsed="false">
      <c r="A605" s="21"/>
      <c r="B605" s="22"/>
      <c r="C605" s="22"/>
      <c r="D605" s="23"/>
      <c r="E605" s="20" t="str">
        <f aca="false">IF($A605="","",IF($C605="Borç",-$D605,$D605))</f>
        <v/>
      </c>
      <c r="F605" s="18" t="str">
        <f aca="false">IF($A605="","",IFERROR(IF(INDEX(tblOrtak[Ortak Adı],ROW($A605)-ROW(tblOrtak[[#Headers],[Tarih]])-1)=$B605,INDEX(tblOrtak[Bakiye (₺)],ROW($A605)-ROW(tblOrtak[[#Headers],[Tarih]])-1)+$E605,$E605),$E605))</f>
        <v/>
      </c>
      <c r="G605" s="19" t="str">
        <f aca="false">IF($A605="","",IFERROR(IF(INDEX(tblOrtak[Tarih],ROW($A605)-ROW(tblOrtak[[#Headers],[Tarih]])+1)=0,RaporTarihi,INDEX(tblOrtak[Tarih],ROW($A605)-ROW(tblOrtak[[#Headers],[Tarih]])+1))-$A605,RaporTarihi-$A605))</f>
        <v/>
      </c>
      <c r="H605" s="18" t="n">
        <f aca="false">IF($F605="",0,ROUND($F605*$G605,0))</f>
        <v>0</v>
      </c>
      <c r="I605" s="18" t="n">
        <f aca="false">IF($H605="",0,ROUND($H605*AdatFaizOran/AdatYilGunSayisi,2))</f>
        <v>0</v>
      </c>
      <c r="J605" s="22"/>
    </row>
    <row r="606" customFormat="false" ht="15" hidden="false" customHeight="false" outlineLevel="0" collapsed="false">
      <c r="A606" s="21"/>
      <c r="B606" s="22"/>
      <c r="C606" s="22"/>
      <c r="D606" s="23"/>
      <c r="E606" s="20" t="str">
        <f aca="false">IF($A606="","",IF($C606="Borç",-$D606,$D606))</f>
        <v/>
      </c>
      <c r="F606" s="18" t="str">
        <f aca="false">IF($A606="","",IFERROR(IF(INDEX(tblOrtak[Ortak Adı],ROW($A606)-ROW(tblOrtak[[#Headers],[Tarih]])-1)=$B606,INDEX(tblOrtak[Bakiye (₺)],ROW($A606)-ROW(tblOrtak[[#Headers],[Tarih]])-1)+$E606,$E606),$E606))</f>
        <v/>
      </c>
      <c r="G606" s="19" t="str">
        <f aca="false">IF($A606="","",IFERROR(IF(INDEX(tblOrtak[Tarih],ROW($A606)-ROW(tblOrtak[[#Headers],[Tarih]])+1)=0,RaporTarihi,INDEX(tblOrtak[Tarih],ROW($A606)-ROW(tblOrtak[[#Headers],[Tarih]])+1))-$A606,RaporTarihi-$A606))</f>
        <v/>
      </c>
      <c r="H606" s="18" t="n">
        <f aca="false">IF($F606="",0,ROUND($F606*$G606,0))</f>
        <v>0</v>
      </c>
      <c r="I606" s="18" t="n">
        <f aca="false">IF($H606="",0,ROUND($H606*AdatFaizOran/AdatYilGunSayisi,2))</f>
        <v>0</v>
      </c>
      <c r="J606" s="22"/>
    </row>
    <row r="607" customFormat="false" ht="15" hidden="false" customHeight="false" outlineLevel="0" collapsed="false">
      <c r="A607" s="21"/>
      <c r="B607" s="22"/>
      <c r="C607" s="22"/>
      <c r="D607" s="23"/>
      <c r="E607" s="20" t="str">
        <f aca="false">IF($A607="","",IF($C607="Borç",-$D607,$D607))</f>
        <v/>
      </c>
      <c r="F607" s="18" t="str">
        <f aca="false">IF($A607="","",IFERROR(IF(INDEX(tblOrtak[Ortak Adı],ROW($A607)-ROW(tblOrtak[[#Headers],[Tarih]])-1)=$B607,INDEX(tblOrtak[Bakiye (₺)],ROW($A607)-ROW(tblOrtak[[#Headers],[Tarih]])-1)+$E607,$E607),$E607))</f>
        <v/>
      </c>
      <c r="G607" s="19" t="str">
        <f aca="false">IF($A607="","",IFERROR(IF(INDEX(tblOrtak[Tarih],ROW($A607)-ROW(tblOrtak[[#Headers],[Tarih]])+1)=0,RaporTarihi,INDEX(tblOrtak[Tarih],ROW($A607)-ROW(tblOrtak[[#Headers],[Tarih]])+1))-$A607,RaporTarihi-$A607))</f>
        <v/>
      </c>
      <c r="H607" s="18" t="n">
        <f aca="false">IF($F607="",0,ROUND($F607*$G607,0))</f>
        <v>0</v>
      </c>
      <c r="I607" s="18" t="n">
        <f aca="false">IF($H607="",0,ROUND($H607*AdatFaizOran/AdatYilGunSayisi,2))</f>
        <v>0</v>
      </c>
      <c r="J607" s="22"/>
    </row>
    <row r="608" customFormat="false" ht="15" hidden="false" customHeight="false" outlineLevel="0" collapsed="false">
      <c r="A608" s="21"/>
      <c r="B608" s="22"/>
      <c r="C608" s="22"/>
      <c r="D608" s="23"/>
      <c r="E608" s="20" t="str">
        <f aca="false">IF($A608="","",IF($C608="Borç",-$D608,$D608))</f>
        <v/>
      </c>
      <c r="F608" s="18" t="str">
        <f aca="false">IF($A608="","",IFERROR(IF(INDEX(tblOrtak[Ortak Adı],ROW($A608)-ROW(tblOrtak[[#Headers],[Tarih]])-1)=$B608,INDEX(tblOrtak[Bakiye (₺)],ROW($A608)-ROW(tblOrtak[[#Headers],[Tarih]])-1)+$E608,$E608),$E608))</f>
        <v/>
      </c>
      <c r="G608" s="19" t="str">
        <f aca="false">IF($A608="","",IFERROR(IF(INDEX(tblOrtak[Tarih],ROW($A608)-ROW(tblOrtak[[#Headers],[Tarih]])+1)=0,RaporTarihi,INDEX(tblOrtak[Tarih],ROW($A608)-ROW(tblOrtak[[#Headers],[Tarih]])+1))-$A608,RaporTarihi-$A608))</f>
        <v/>
      </c>
      <c r="H608" s="18" t="n">
        <f aca="false">IF($F608="",0,ROUND($F608*$G608,0))</f>
        <v>0</v>
      </c>
      <c r="I608" s="18" t="n">
        <f aca="false">IF($H608="",0,ROUND($H608*AdatFaizOran/AdatYilGunSayisi,2))</f>
        <v>0</v>
      </c>
      <c r="J608" s="22"/>
    </row>
    <row r="609" customFormat="false" ht="15" hidden="false" customHeight="false" outlineLevel="0" collapsed="false">
      <c r="A609" s="21"/>
      <c r="B609" s="22"/>
      <c r="C609" s="22"/>
      <c r="D609" s="23"/>
      <c r="E609" s="20" t="str">
        <f aca="false">IF($A609="","",IF($C609="Borç",-$D609,$D609))</f>
        <v/>
      </c>
      <c r="F609" s="18" t="str">
        <f aca="false">IF($A609="","",IFERROR(IF(INDEX(tblOrtak[Ortak Adı],ROW($A609)-ROW(tblOrtak[[#Headers],[Tarih]])-1)=$B609,INDEX(tblOrtak[Bakiye (₺)],ROW($A609)-ROW(tblOrtak[[#Headers],[Tarih]])-1)+$E609,$E609),$E609))</f>
        <v/>
      </c>
      <c r="G609" s="19" t="str">
        <f aca="false">IF($A609="","",IFERROR(IF(INDEX(tblOrtak[Tarih],ROW($A609)-ROW(tblOrtak[[#Headers],[Tarih]])+1)=0,RaporTarihi,INDEX(tblOrtak[Tarih],ROW($A609)-ROW(tblOrtak[[#Headers],[Tarih]])+1))-$A609,RaporTarihi-$A609))</f>
        <v/>
      </c>
      <c r="H609" s="18" t="n">
        <f aca="false">IF($F609="",0,ROUND($F609*$G609,0))</f>
        <v>0</v>
      </c>
      <c r="I609" s="18" t="n">
        <f aca="false">IF($H609="",0,ROUND($H609*AdatFaizOran/AdatYilGunSayisi,2))</f>
        <v>0</v>
      </c>
      <c r="J609" s="22"/>
    </row>
    <row r="610" customFormat="false" ht="15" hidden="false" customHeight="false" outlineLevel="0" collapsed="false">
      <c r="A610" s="21"/>
      <c r="B610" s="22"/>
      <c r="C610" s="22"/>
      <c r="D610" s="23"/>
      <c r="E610" s="20" t="str">
        <f aca="false">IF($A610="","",IF($C610="Borç",-$D610,$D610))</f>
        <v/>
      </c>
      <c r="F610" s="18" t="str">
        <f aca="false">IF($A610="","",IFERROR(IF(INDEX(tblOrtak[Ortak Adı],ROW($A610)-ROW(tblOrtak[[#Headers],[Tarih]])-1)=$B610,INDEX(tblOrtak[Bakiye (₺)],ROW($A610)-ROW(tblOrtak[[#Headers],[Tarih]])-1)+$E610,$E610),$E610))</f>
        <v/>
      </c>
      <c r="G610" s="19" t="str">
        <f aca="false">IF($A610="","",IFERROR(IF(INDEX(tblOrtak[Tarih],ROW($A610)-ROW(tblOrtak[[#Headers],[Tarih]])+1)=0,RaporTarihi,INDEX(tblOrtak[Tarih],ROW($A610)-ROW(tblOrtak[[#Headers],[Tarih]])+1))-$A610,RaporTarihi-$A610))</f>
        <v/>
      </c>
      <c r="H610" s="18" t="n">
        <f aca="false">IF($F610="",0,ROUND($F610*$G610,0))</f>
        <v>0</v>
      </c>
      <c r="I610" s="18" t="n">
        <f aca="false">IF($H610="",0,ROUND($H610*AdatFaizOran/AdatYilGunSayisi,2))</f>
        <v>0</v>
      </c>
      <c r="J610" s="22"/>
    </row>
    <row r="611" customFormat="false" ht="15" hidden="false" customHeight="false" outlineLevel="0" collapsed="false">
      <c r="A611" s="21"/>
      <c r="B611" s="22"/>
      <c r="C611" s="22"/>
      <c r="D611" s="23"/>
      <c r="E611" s="20" t="str">
        <f aca="false">IF($A611="","",IF($C611="Borç",-$D611,$D611))</f>
        <v/>
      </c>
      <c r="F611" s="18" t="str">
        <f aca="false">IF($A611="","",IFERROR(IF(INDEX(tblOrtak[Ortak Adı],ROW($A611)-ROW(tblOrtak[[#Headers],[Tarih]])-1)=$B611,INDEX(tblOrtak[Bakiye (₺)],ROW($A611)-ROW(tblOrtak[[#Headers],[Tarih]])-1)+$E611,$E611),$E611))</f>
        <v/>
      </c>
      <c r="G611" s="19" t="str">
        <f aca="false">IF($A611="","",IFERROR(IF(INDEX(tblOrtak[Tarih],ROW($A611)-ROW(tblOrtak[[#Headers],[Tarih]])+1)=0,RaporTarihi,INDEX(tblOrtak[Tarih],ROW($A611)-ROW(tblOrtak[[#Headers],[Tarih]])+1))-$A611,RaporTarihi-$A611))</f>
        <v/>
      </c>
      <c r="H611" s="18" t="n">
        <f aca="false">IF($F611="",0,ROUND($F611*$G611,0))</f>
        <v>0</v>
      </c>
      <c r="I611" s="18" t="n">
        <f aca="false">IF($H611="",0,ROUND($H611*AdatFaizOran/AdatYilGunSayisi,2))</f>
        <v>0</v>
      </c>
      <c r="J611" s="22"/>
    </row>
    <row r="612" customFormat="false" ht="15" hidden="false" customHeight="false" outlineLevel="0" collapsed="false">
      <c r="A612" s="21"/>
      <c r="B612" s="22"/>
      <c r="C612" s="22"/>
      <c r="D612" s="23"/>
      <c r="E612" s="20" t="str">
        <f aca="false">IF($A612="","",IF($C612="Borç",-$D612,$D612))</f>
        <v/>
      </c>
      <c r="F612" s="18" t="str">
        <f aca="false">IF($A612="","",IFERROR(IF(INDEX(tblOrtak[Ortak Adı],ROW($A612)-ROW(tblOrtak[[#Headers],[Tarih]])-1)=$B612,INDEX(tblOrtak[Bakiye (₺)],ROW($A612)-ROW(tblOrtak[[#Headers],[Tarih]])-1)+$E612,$E612),$E612))</f>
        <v/>
      </c>
      <c r="G612" s="19" t="str">
        <f aca="false">IF($A612="","",IFERROR(IF(INDEX(tblOrtak[Tarih],ROW($A612)-ROW(tblOrtak[[#Headers],[Tarih]])+1)=0,RaporTarihi,INDEX(tblOrtak[Tarih],ROW($A612)-ROW(tblOrtak[[#Headers],[Tarih]])+1))-$A612,RaporTarihi-$A612))</f>
        <v/>
      </c>
      <c r="H612" s="18" t="n">
        <f aca="false">IF($F612="",0,ROUND($F612*$G612,0))</f>
        <v>0</v>
      </c>
      <c r="I612" s="18" t="n">
        <f aca="false">IF($H612="",0,ROUND($H612*AdatFaizOran/AdatYilGunSayisi,2))</f>
        <v>0</v>
      </c>
      <c r="J612" s="22"/>
    </row>
    <row r="613" customFormat="false" ht="15" hidden="false" customHeight="false" outlineLevel="0" collapsed="false">
      <c r="A613" s="21"/>
      <c r="B613" s="22"/>
      <c r="C613" s="22"/>
      <c r="D613" s="23"/>
      <c r="E613" s="20" t="str">
        <f aca="false">IF($A613="","",IF($C613="Borç",-$D613,$D613))</f>
        <v/>
      </c>
      <c r="F613" s="18" t="str">
        <f aca="false">IF($A613="","",IFERROR(IF(INDEX(tblOrtak[Ortak Adı],ROW($A613)-ROW(tblOrtak[[#Headers],[Tarih]])-1)=$B613,INDEX(tblOrtak[Bakiye (₺)],ROW($A613)-ROW(tblOrtak[[#Headers],[Tarih]])-1)+$E613,$E613),$E613))</f>
        <v/>
      </c>
      <c r="G613" s="19" t="str">
        <f aca="false">IF($A613="","",IFERROR(IF(INDEX(tblOrtak[Tarih],ROW($A613)-ROW(tblOrtak[[#Headers],[Tarih]])+1)=0,RaporTarihi,INDEX(tblOrtak[Tarih],ROW($A613)-ROW(tblOrtak[[#Headers],[Tarih]])+1))-$A613,RaporTarihi-$A613))</f>
        <v/>
      </c>
      <c r="H613" s="18" t="n">
        <f aca="false">IF($F613="",0,ROUND($F613*$G613,0))</f>
        <v>0</v>
      </c>
      <c r="I613" s="18" t="n">
        <f aca="false">IF($H613="",0,ROUND($H613*AdatFaizOran/AdatYilGunSayisi,2))</f>
        <v>0</v>
      </c>
      <c r="J613" s="22"/>
    </row>
    <row r="614" customFormat="false" ht="15" hidden="false" customHeight="false" outlineLevel="0" collapsed="false">
      <c r="A614" s="21"/>
      <c r="B614" s="22"/>
      <c r="C614" s="22"/>
      <c r="D614" s="23"/>
      <c r="E614" s="20" t="str">
        <f aca="false">IF($A614="","",IF($C614="Borç",-$D614,$D614))</f>
        <v/>
      </c>
      <c r="F614" s="18" t="str">
        <f aca="false">IF($A614="","",IFERROR(IF(INDEX(tblOrtak[Ortak Adı],ROW($A614)-ROW(tblOrtak[[#Headers],[Tarih]])-1)=$B614,INDEX(tblOrtak[Bakiye (₺)],ROW($A614)-ROW(tblOrtak[[#Headers],[Tarih]])-1)+$E614,$E614),$E614))</f>
        <v/>
      </c>
      <c r="G614" s="19" t="str">
        <f aca="false">IF($A614="","",IFERROR(IF(INDEX(tblOrtak[Tarih],ROW($A614)-ROW(tblOrtak[[#Headers],[Tarih]])+1)=0,RaporTarihi,INDEX(tblOrtak[Tarih],ROW($A614)-ROW(tblOrtak[[#Headers],[Tarih]])+1))-$A614,RaporTarihi-$A614))</f>
        <v/>
      </c>
      <c r="H614" s="18" t="n">
        <f aca="false">IF($F614="",0,ROUND($F614*$G614,0))</f>
        <v>0</v>
      </c>
      <c r="I614" s="18" t="n">
        <f aca="false">IF($H614="",0,ROUND($H614*AdatFaizOran/AdatYilGunSayisi,2))</f>
        <v>0</v>
      </c>
      <c r="J614" s="22"/>
    </row>
    <row r="615" customFormat="false" ht="15" hidden="false" customHeight="false" outlineLevel="0" collapsed="false">
      <c r="A615" s="21"/>
      <c r="B615" s="22"/>
      <c r="C615" s="22"/>
      <c r="D615" s="23"/>
      <c r="E615" s="20" t="str">
        <f aca="false">IF($A615="","",IF($C615="Borç",-$D615,$D615))</f>
        <v/>
      </c>
      <c r="F615" s="18" t="str">
        <f aca="false">IF($A615="","",IFERROR(IF(INDEX(tblOrtak[Ortak Adı],ROW($A615)-ROW(tblOrtak[[#Headers],[Tarih]])-1)=$B615,INDEX(tblOrtak[Bakiye (₺)],ROW($A615)-ROW(tblOrtak[[#Headers],[Tarih]])-1)+$E615,$E615),$E615))</f>
        <v/>
      </c>
      <c r="G615" s="19" t="str">
        <f aca="false">IF($A615="","",IFERROR(IF(INDEX(tblOrtak[Tarih],ROW($A615)-ROW(tblOrtak[[#Headers],[Tarih]])+1)=0,RaporTarihi,INDEX(tblOrtak[Tarih],ROW($A615)-ROW(tblOrtak[[#Headers],[Tarih]])+1))-$A615,RaporTarihi-$A615))</f>
        <v/>
      </c>
      <c r="H615" s="18" t="n">
        <f aca="false">IF($F615="",0,ROUND($F615*$G615,0))</f>
        <v>0</v>
      </c>
      <c r="I615" s="18" t="n">
        <f aca="false">IF($H615="",0,ROUND($H615*AdatFaizOran/AdatYilGunSayisi,2))</f>
        <v>0</v>
      </c>
      <c r="J615" s="22"/>
    </row>
    <row r="616" customFormat="false" ht="15" hidden="false" customHeight="false" outlineLevel="0" collapsed="false">
      <c r="A616" s="21"/>
      <c r="B616" s="22"/>
      <c r="C616" s="22"/>
      <c r="D616" s="23"/>
      <c r="E616" s="20" t="str">
        <f aca="false">IF($A616="","",IF($C616="Borç",-$D616,$D616))</f>
        <v/>
      </c>
      <c r="F616" s="18" t="str">
        <f aca="false">IF($A616="","",IFERROR(IF(INDEX(tblOrtak[Ortak Adı],ROW($A616)-ROW(tblOrtak[[#Headers],[Tarih]])-1)=$B616,INDEX(tblOrtak[Bakiye (₺)],ROW($A616)-ROW(tblOrtak[[#Headers],[Tarih]])-1)+$E616,$E616),$E616))</f>
        <v/>
      </c>
      <c r="G616" s="19" t="str">
        <f aca="false">IF($A616="","",IFERROR(IF(INDEX(tblOrtak[Tarih],ROW($A616)-ROW(tblOrtak[[#Headers],[Tarih]])+1)=0,RaporTarihi,INDEX(tblOrtak[Tarih],ROW($A616)-ROW(tblOrtak[[#Headers],[Tarih]])+1))-$A616,RaporTarihi-$A616))</f>
        <v/>
      </c>
      <c r="H616" s="18" t="n">
        <f aca="false">IF($F616="",0,ROUND($F616*$G616,0))</f>
        <v>0</v>
      </c>
      <c r="I616" s="18" t="n">
        <f aca="false">IF($H616="",0,ROUND($H616*AdatFaizOran/AdatYilGunSayisi,2))</f>
        <v>0</v>
      </c>
      <c r="J616" s="22"/>
    </row>
    <row r="617" customFormat="false" ht="15" hidden="false" customHeight="false" outlineLevel="0" collapsed="false">
      <c r="A617" s="21"/>
      <c r="B617" s="22"/>
      <c r="C617" s="22"/>
      <c r="D617" s="23"/>
      <c r="E617" s="20" t="str">
        <f aca="false">IF($A617="","",IF($C617="Borç",-$D617,$D617))</f>
        <v/>
      </c>
      <c r="F617" s="18" t="str">
        <f aca="false">IF($A617="","",IFERROR(IF(INDEX(tblOrtak[Ortak Adı],ROW($A617)-ROW(tblOrtak[[#Headers],[Tarih]])-1)=$B617,INDEX(tblOrtak[Bakiye (₺)],ROW($A617)-ROW(tblOrtak[[#Headers],[Tarih]])-1)+$E617,$E617),$E617))</f>
        <v/>
      </c>
      <c r="G617" s="19" t="str">
        <f aca="false">IF($A617="","",IFERROR(IF(INDEX(tblOrtak[Tarih],ROW($A617)-ROW(tblOrtak[[#Headers],[Tarih]])+1)=0,RaporTarihi,INDEX(tblOrtak[Tarih],ROW($A617)-ROW(tblOrtak[[#Headers],[Tarih]])+1))-$A617,RaporTarihi-$A617))</f>
        <v/>
      </c>
      <c r="H617" s="18" t="n">
        <f aca="false">IF($F617="",0,ROUND($F617*$G617,0))</f>
        <v>0</v>
      </c>
      <c r="I617" s="18" t="n">
        <f aca="false">IF($H617="",0,ROUND($H617*AdatFaizOran/AdatYilGunSayisi,2))</f>
        <v>0</v>
      </c>
      <c r="J617" s="22"/>
    </row>
    <row r="618" customFormat="false" ht="15" hidden="false" customHeight="false" outlineLevel="0" collapsed="false">
      <c r="A618" s="21"/>
      <c r="B618" s="22"/>
      <c r="C618" s="22"/>
      <c r="D618" s="23"/>
      <c r="E618" s="20" t="str">
        <f aca="false">IF($A618="","",IF($C618="Borç",-$D618,$D618))</f>
        <v/>
      </c>
      <c r="F618" s="18" t="str">
        <f aca="false">IF($A618="","",IFERROR(IF(INDEX(tblOrtak[Ortak Adı],ROW($A618)-ROW(tblOrtak[[#Headers],[Tarih]])-1)=$B618,INDEX(tblOrtak[Bakiye (₺)],ROW($A618)-ROW(tblOrtak[[#Headers],[Tarih]])-1)+$E618,$E618),$E618))</f>
        <v/>
      </c>
      <c r="G618" s="19" t="str">
        <f aca="false">IF($A618="","",IFERROR(IF(INDEX(tblOrtak[Tarih],ROW($A618)-ROW(tblOrtak[[#Headers],[Tarih]])+1)=0,RaporTarihi,INDEX(tblOrtak[Tarih],ROW($A618)-ROW(tblOrtak[[#Headers],[Tarih]])+1))-$A618,RaporTarihi-$A618))</f>
        <v/>
      </c>
      <c r="H618" s="18" t="n">
        <f aca="false">IF($F618="",0,ROUND($F618*$G618,0))</f>
        <v>0</v>
      </c>
      <c r="I618" s="18" t="n">
        <f aca="false">IF($H618="",0,ROUND($H618*AdatFaizOran/AdatYilGunSayisi,2))</f>
        <v>0</v>
      </c>
      <c r="J618" s="22"/>
    </row>
    <row r="619" customFormat="false" ht="15" hidden="false" customHeight="false" outlineLevel="0" collapsed="false">
      <c r="A619" s="21"/>
      <c r="B619" s="22"/>
      <c r="C619" s="22"/>
      <c r="D619" s="23"/>
      <c r="E619" s="20" t="str">
        <f aca="false">IF($A619="","",IF($C619="Borç",-$D619,$D619))</f>
        <v/>
      </c>
      <c r="F619" s="18" t="str">
        <f aca="false">IF($A619="","",IFERROR(IF(INDEX(tblOrtak[Ortak Adı],ROW($A619)-ROW(tblOrtak[[#Headers],[Tarih]])-1)=$B619,INDEX(tblOrtak[Bakiye (₺)],ROW($A619)-ROW(tblOrtak[[#Headers],[Tarih]])-1)+$E619,$E619),$E619))</f>
        <v/>
      </c>
      <c r="G619" s="19" t="str">
        <f aca="false">IF($A619="","",IFERROR(IF(INDEX(tblOrtak[Tarih],ROW($A619)-ROW(tblOrtak[[#Headers],[Tarih]])+1)=0,RaporTarihi,INDEX(tblOrtak[Tarih],ROW($A619)-ROW(tblOrtak[[#Headers],[Tarih]])+1))-$A619,RaporTarihi-$A619))</f>
        <v/>
      </c>
      <c r="H619" s="18" t="n">
        <f aca="false">IF($F619="",0,ROUND($F619*$G619,0))</f>
        <v>0</v>
      </c>
      <c r="I619" s="18" t="n">
        <f aca="false">IF($H619="",0,ROUND($H619*AdatFaizOran/AdatYilGunSayisi,2))</f>
        <v>0</v>
      </c>
      <c r="J619" s="22"/>
    </row>
    <row r="620" customFormat="false" ht="15" hidden="false" customHeight="false" outlineLevel="0" collapsed="false">
      <c r="A620" s="21"/>
      <c r="B620" s="22"/>
      <c r="C620" s="22"/>
      <c r="D620" s="23"/>
      <c r="E620" s="20" t="str">
        <f aca="false">IF($A620="","",IF($C620="Borç",-$D620,$D620))</f>
        <v/>
      </c>
      <c r="F620" s="18" t="str">
        <f aca="false">IF($A620="","",IFERROR(IF(INDEX(tblOrtak[Ortak Adı],ROW($A620)-ROW(tblOrtak[[#Headers],[Tarih]])-1)=$B620,INDEX(tblOrtak[Bakiye (₺)],ROW($A620)-ROW(tblOrtak[[#Headers],[Tarih]])-1)+$E620,$E620),$E620))</f>
        <v/>
      </c>
      <c r="G620" s="19" t="str">
        <f aca="false">IF($A620="","",IFERROR(IF(INDEX(tblOrtak[Tarih],ROW($A620)-ROW(tblOrtak[[#Headers],[Tarih]])+1)=0,RaporTarihi,INDEX(tblOrtak[Tarih],ROW($A620)-ROW(tblOrtak[[#Headers],[Tarih]])+1))-$A620,RaporTarihi-$A620))</f>
        <v/>
      </c>
      <c r="H620" s="18" t="n">
        <f aca="false">IF($F620="",0,ROUND($F620*$G620,0))</f>
        <v>0</v>
      </c>
      <c r="I620" s="18" t="n">
        <f aca="false">IF($H620="",0,ROUND($H620*AdatFaizOran/AdatYilGunSayisi,2))</f>
        <v>0</v>
      </c>
      <c r="J620" s="22"/>
    </row>
    <row r="621" customFormat="false" ht="15" hidden="false" customHeight="false" outlineLevel="0" collapsed="false">
      <c r="A621" s="21"/>
      <c r="B621" s="22"/>
      <c r="C621" s="22"/>
      <c r="D621" s="23"/>
      <c r="E621" s="20" t="str">
        <f aca="false">IF($A621="","",IF($C621="Borç",-$D621,$D621))</f>
        <v/>
      </c>
      <c r="F621" s="18" t="str">
        <f aca="false">IF($A621="","",IFERROR(IF(INDEX(tblOrtak[Ortak Adı],ROW($A621)-ROW(tblOrtak[[#Headers],[Tarih]])-1)=$B621,INDEX(tblOrtak[Bakiye (₺)],ROW($A621)-ROW(tblOrtak[[#Headers],[Tarih]])-1)+$E621,$E621),$E621))</f>
        <v/>
      </c>
      <c r="G621" s="19" t="str">
        <f aca="false">IF($A621="","",IFERROR(IF(INDEX(tblOrtak[Tarih],ROW($A621)-ROW(tblOrtak[[#Headers],[Tarih]])+1)=0,RaporTarihi,INDEX(tblOrtak[Tarih],ROW($A621)-ROW(tblOrtak[[#Headers],[Tarih]])+1))-$A621,RaporTarihi-$A621))</f>
        <v/>
      </c>
      <c r="H621" s="18" t="n">
        <f aca="false">IF($F621="",0,ROUND($F621*$G621,0))</f>
        <v>0</v>
      </c>
      <c r="I621" s="18" t="n">
        <f aca="false">IF($H621="",0,ROUND($H621*AdatFaizOran/AdatYilGunSayisi,2))</f>
        <v>0</v>
      </c>
      <c r="J621" s="22"/>
    </row>
    <row r="622" customFormat="false" ht="15" hidden="false" customHeight="false" outlineLevel="0" collapsed="false">
      <c r="A622" s="21"/>
      <c r="B622" s="22"/>
      <c r="C622" s="22"/>
      <c r="D622" s="23"/>
      <c r="E622" s="20" t="str">
        <f aca="false">IF($A622="","",IF($C622="Borç",-$D622,$D622))</f>
        <v/>
      </c>
      <c r="F622" s="18" t="str">
        <f aca="false">IF($A622="","",IFERROR(IF(INDEX(tblOrtak[Ortak Adı],ROW($A622)-ROW(tblOrtak[[#Headers],[Tarih]])-1)=$B622,INDEX(tblOrtak[Bakiye (₺)],ROW($A622)-ROW(tblOrtak[[#Headers],[Tarih]])-1)+$E622,$E622),$E622))</f>
        <v/>
      </c>
      <c r="G622" s="19" t="str">
        <f aca="false">IF($A622="","",IFERROR(IF(INDEX(tblOrtak[Tarih],ROW($A622)-ROW(tblOrtak[[#Headers],[Tarih]])+1)=0,RaporTarihi,INDEX(tblOrtak[Tarih],ROW($A622)-ROW(tblOrtak[[#Headers],[Tarih]])+1))-$A622,RaporTarihi-$A622))</f>
        <v/>
      </c>
      <c r="H622" s="18" t="n">
        <f aca="false">IF($F622="",0,ROUND($F622*$G622,0))</f>
        <v>0</v>
      </c>
      <c r="I622" s="18" t="n">
        <f aca="false">IF($H622="",0,ROUND($H622*AdatFaizOran/AdatYilGunSayisi,2))</f>
        <v>0</v>
      </c>
      <c r="J622" s="22"/>
    </row>
    <row r="623" customFormat="false" ht="15" hidden="false" customHeight="false" outlineLevel="0" collapsed="false">
      <c r="A623" s="21"/>
      <c r="B623" s="22"/>
      <c r="C623" s="22"/>
      <c r="D623" s="23"/>
      <c r="E623" s="20" t="str">
        <f aca="false">IF($A623="","",IF($C623="Borç",-$D623,$D623))</f>
        <v/>
      </c>
      <c r="F623" s="18" t="str">
        <f aca="false">IF($A623="","",IFERROR(IF(INDEX(tblOrtak[Ortak Adı],ROW($A623)-ROW(tblOrtak[[#Headers],[Tarih]])-1)=$B623,INDEX(tblOrtak[Bakiye (₺)],ROW($A623)-ROW(tblOrtak[[#Headers],[Tarih]])-1)+$E623,$E623),$E623))</f>
        <v/>
      </c>
      <c r="G623" s="19" t="str">
        <f aca="false">IF($A623="","",IFERROR(IF(INDEX(tblOrtak[Tarih],ROW($A623)-ROW(tblOrtak[[#Headers],[Tarih]])+1)=0,RaporTarihi,INDEX(tblOrtak[Tarih],ROW($A623)-ROW(tblOrtak[[#Headers],[Tarih]])+1))-$A623,RaporTarihi-$A623))</f>
        <v/>
      </c>
      <c r="H623" s="18" t="n">
        <f aca="false">IF($F623="",0,ROUND($F623*$G623,0))</f>
        <v>0</v>
      </c>
      <c r="I623" s="18" t="n">
        <f aca="false">IF($H623="",0,ROUND($H623*AdatFaizOran/AdatYilGunSayisi,2))</f>
        <v>0</v>
      </c>
      <c r="J623" s="22"/>
    </row>
    <row r="624" customFormat="false" ht="15" hidden="false" customHeight="false" outlineLevel="0" collapsed="false">
      <c r="A624" s="21"/>
      <c r="B624" s="22"/>
      <c r="C624" s="22"/>
      <c r="D624" s="23"/>
      <c r="E624" s="20" t="str">
        <f aca="false">IF($A624="","",IF($C624="Borç",-$D624,$D624))</f>
        <v/>
      </c>
      <c r="F624" s="18" t="str">
        <f aca="false">IF($A624="","",IFERROR(IF(INDEX(tblOrtak[Ortak Adı],ROW($A624)-ROW(tblOrtak[[#Headers],[Tarih]])-1)=$B624,INDEX(tblOrtak[Bakiye (₺)],ROW($A624)-ROW(tblOrtak[[#Headers],[Tarih]])-1)+$E624,$E624),$E624))</f>
        <v/>
      </c>
      <c r="G624" s="19" t="str">
        <f aca="false">IF($A624="","",IFERROR(IF(INDEX(tblOrtak[Tarih],ROW($A624)-ROW(tblOrtak[[#Headers],[Tarih]])+1)=0,RaporTarihi,INDEX(tblOrtak[Tarih],ROW($A624)-ROW(tblOrtak[[#Headers],[Tarih]])+1))-$A624,RaporTarihi-$A624))</f>
        <v/>
      </c>
      <c r="H624" s="18" t="n">
        <f aca="false">IF($F624="",0,ROUND($F624*$G624,0))</f>
        <v>0</v>
      </c>
      <c r="I624" s="18" t="n">
        <f aca="false">IF($H624="",0,ROUND($H624*AdatFaizOran/AdatYilGunSayisi,2))</f>
        <v>0</v>
      </c>
      <c r="J624" s="22"/>
    </row>
    <row r="625" customFormat="false" ht="15" hidden="false" customHeight="false" outlineLevel="0" collapsed="false">
      <c r="A625" s="21"/>
      <c r="B625" s="22"/>
      <c r="C625" s="22"/>
      <c r="D625" s="23"/>
      <c r="E625" s="20" t="str">
        <f aca="false">IF($A625="","",IF($C625="Borç",-$D625,$D625))</f>
        <v/>
      </c>
      <c r="F625" s="18" t="str">
        <f aca="false">IF($A625="","",IFERROR(IF(INDEX(tblOrtak[Ortak Adı],ROW($A625)-ROW(tblOrtak[[#Headers],[Tarih]])-1)=$B625,INDEX(tblOrtak[Bakiye (₺)],ROW($A625)-ROW(tblOrtak[[#Headers],[Tarih]])-1)+$E625,$E625),$E625))</f>
        <v/>
      </c>
      <c r="G625" s="19" t="str">
        <f aca="false">IF($A625="","",IFERROR(IF(INDEX(tblOrtak[Tarih],ROW($A625)-ROW(tblOrtak[[#Headers],[Tarih]])+1)=0,RaporTarihi,INDEX(tblOrtak[Tarih],ROW($A625)-ROW(tblOrtak[[#Headers],[Tarih]])+1))-$A625,RaporTarihi-$A625))</f>
        <v/>
      </c>
      <c r="H625" s="18" t="n">
        <f aca="false">IF($F625="",0,ROUND($F625*$G625,0))</f>
        <v>0</v>
      </c>
      <c r="I625" s="18" t="n">
        <f aca="false">IF($H625="",0,ROUND($H625*AdatFaizOran/AdatYilGunSayisi,2))</f>
        <v>0</v>
      </c>
      <c r="J625" s="22"/>
    </row>
    <row r="626" customFormat="false" ht="15" hidden="false" customHeight="false" outlineLevel="0" collapsed="false">
      <c r="A626" s="21"/>
      <c r="B626" s="22"/>
      <c r="C626" s="22"/>
      <c r="D626" s="23"/>
      <c r="E626" s="20" t="str">
        <f aca="false">IF($A626="","",IF($C626="Borç",-$D626,$D626))</f>
        <v/>
      </c>
      <c r="F626" s="18" t="str">
        <f aca="false">IF($A626="","",IFERROR(IF(INDEX(tblOrtak[Ortak Adı],ROW($A626)-ROW(tblOrtak[[#Headers],[Tarih]])-1)=$B626,INDEX(tblOrtak[Bakiye (₺)],ROW($A626)-ROW(tblOrtak[[#Headers],[Tarih]])-1)+$E626,$E626),$E626))</f>
        <v/>
      </c>
      <c r="G626" s="19" t="str">
        <f aca="false">IF($A626="","",IFERROR(IF(INDEX(tblOrtak[Tarih],ROW($A626)-ROW(tblOrtak[[#Headers],[Tarih]])+1)=0,RaporTarihi,INDEX(tblOrtak[Tarih],ROW($A626)-ROW(tblOrtak[[#Headers],[Tarih]])+1))-$A626,RaporTarihi-$A626))</f>
        <v/>
      </c>
      <c r="H626" s="18" t="n">
        <f aca="false">IF($F626="",0,ROUND($F626*$G626,0))</f>
        <v>0</v>
      </c>
      <c r="I626" s="18" t="n">
        <f aca="false">IF($H626="",0,ROUND($H626*AdatFaizOran/AdatYilGunSayisi,2))</f>
        <v>0</v>
      </c>
      <c r="J626" s="22"/>
    </row>
    <row r="627" customFormat="false" ht="15" hidden="false" customHeight="false" outlineLevel="0" collapsed="false">
      <c r="A627" s="21"/>
      <c r="B627" s="22"/>
      <c r="C627" s="22"/>
      <c r="D627" s="23"/>
      <c r="E627" s="20" t="str">
        <f aca="false">IF($A627="","",IF($C627="Borç",-$D627,$D627))</f>
        <v/>
      </c>
      <c r="F627" s="18" t="str">
        <f aca="false">IF($A627="","",IFERROR(IF(INDEX(tblOrtak[Ortak Adı],ROW($A627)-ROW(tblOrtak[[#Headers],[Tarih]])-1)=$B627,INDEX(tblOrtak[Bakiye (₺)],ROW($A627)-ROW(tblOrtak[[#Headers],[Tarih]])-1)+$E627,$E627),$E627))</f>
        <v/>
      </c>
      <c r="G627" s="19" t="str">
        <f aca="false">IF($A627="","",IFERROR(IF(INDEX(tblOrtak[Tarih],ROW($A627)-ROW(tblOrtak[[#Headers],[Tarih]])+1)=0,RaporTarihi,INDEX(tblOrtak[Tarih],ROW($A627)-ROW(tblOrtak[[#Headers],[Tarih]])+1))-$A627,RaporTarihi-$A627))</f>
        <v/>
      </c>
      <c r="H627" s="18" t="n">
        <f aca="false">IF($F627="",0,ROUND($F627*$G627,0))</f>
        <v>0</v>
      </c>
      <c r="I627" s="18" t="n">
        <f aca="false">IF($H627="",0,ROUND($H627*AdatFaizOran/AdatYilGunSayisi,2))</f>
        <v>0</v>
      </c>
      <c r="J627" s="22"/>
    </row>
    <row r="628" customFormat="false" ht="15" hidden="false" customHeight="false" outlineLevel="0" collapsed="false">
      <c r="A628" s="21"/>
      <c r="B628" s="22"/>
      <c r="C628" s="22"/>
      <c r="D628" s="23"/>
      <c r="E628" s="20" t="str">
        <f aca="false">IF($A628="","",IF($C628="Borç",-$D628,$D628))</f>
        <v/>
      </c>
      <c r="F628" s="18" t="str">
        <f aca="false">IF($A628="","",IFERROR(IF(INDEX(tblOrtak[Ortak Adı],ROW($A628)-ROW(tblOrtak[[#Headers],[Tarih]])-1)=$B628,INDEX(tblOrtak[Bakiye (₺)],ROW($A628)-ROW(tblOrtak[[#Headers],[Tarih]])-1)+$E628,$E628),$E628))</f>
        <v/>
      </c>
      <c r="G628" s="19" t="str">
        <f aca="false">IF($A628="","",IFERROR(IF(INDEX(tblOrtak[Tarih],ROW($A628)-ROW(tblOrtak[[#Headers],[Tarih]])+1)=0,RaporTarihi,INDEX(tblOrtak[Tarih],ROW($A628)-ROW(tblOrtak[[#Headers],[Tarih]])+1))-$A628,RaporTarihi-$A628))</f>
        <v/>
      </c>
      <c r="H628" s="18" t="n">
        <f aca="false">IF($F628="",0,ROUND($F628*$G628,0))</f>
        <v>0</v>
      </c>
      <c r="I628" s="18" t="n">
        <f aca="false">IF($H628="",0,ROUND($H628*AdatFaizOran/AdatYilGunSayisi,2))</f>
        <v>0</v>
      </c>
      <c r="J628" s="22"/>
    </row>
    <row r="629" customFormat="false" ht="15" hidden="false" customHeight="false" outlineLevel="0" collapsed="false">
      <c r="A629" s="21"/>
      <c r="B629" s="22"/>
      <c r="C629" s="22"/>
      <c r="D629" s="23"/>
      <c r="E629" s="20" t="str">
        <f aca="false">IF($A629="","",IF($C629="Borç",-$D629,$D629))</f>
        <v/>
      </c>
      <c r="F629" s="18" t="str">
        <f aca="false">IF($A629="","",IFERROR(IF(INDEX(tblOrtak[Ortak Adı],ROW($A629)-ROW(tblOrtak[[#Headers],[Tarih]])-1)=$B629,INDEX(tblOrtak[Bakiye (₺)],ROW($A629)-ROW(tblOrtak[[#Headers],[Tarih]])-1)+$E629,$E629),$E629))</f>
        <v/>
      </c>
      <c r="G629" s="19" t="str">
        <f aca="false">IF($A629="","",IFERROR(IF(INDEX(tblOrtak[Tarih],ROW($A629)-ROW(tblOrtak[[#Headers],[Tarih]])+1)=0,RaporTarihi,INDEX(tblOrtak[Tarih],ROW($A629)-ROW(tblOrtak[[#Headers],[Tarih]])+1))-$A629,RaporTarihi-$A629))</f>
        <v/>
      </c>
      <c r="H629" s="18" t="n">
        <f aca="false">IF($F629="",0,ROUND($F629*$G629,0))</f>
        <v>0</v>
      </c>
      <c r="I629" s="18" t="n">
        <f aca="false">IF($H629="",0,ROUND($H629*AdatFaizOran/AdatYilGunSayisi,2))</f>
        <v>0</v>
      </c>
      <c r="J629" s="22"/>
    </row>
    <row r="630" customFormat="false" ht="15" hidden="false" customHeight="false" outlineLevel="0" collapsed="false">
      <c r="A630" s="21"/>
      <c r="B630" s="22"/>
      <c r="C630" s="22"/>
      <c r="D630" s="23"/>
      <c r="E630" s="20" t="str">
        <f aca="false">IF($A630="","",IF($C630="Borç",-$D630,$D630))</f>
        <v/>
      </c>
      <c r="F630" s="18" t="str">
        <f aca="false">IF($A630="","",IFERROR(IF(INDEX(tblOrtak[Ortak Adı],ROW($A630)-ROW(tblOrtak[[#Headers],[Tarih]])-1)=$B630,INDEX(tblOrtak[Bakiye (₺)],ROW($A630)-ROW(tblOrtak[[#Headers],[Tarih]])-1)+$E630,$E630),$E630))</f>
        <v/>
      </c>
      <c r="G630" s="19" t="str">
        <f aca="false">IF($A630="","",IFERROR(IF(INDEX(tblOrtak[Tarih],ROW($A630)-ROW(tblOrtak[[#Headers],[Tarih]])+1)=0,RaporTarihi,INDEX(tblOrtak[Tarih],ROW($A630)-ROW(tblOrtak[[#Headers],[Tarih]])+1))-$A630,RaporTarihi-$A630))</f>
        <v/>
      </c>
      <c r="H630" s="18" t="n">
        <f aca="false">IF($F630="",0,ROUND($F630*$G630,0))</f>
        <v>0</v>
      </c>
      <c r="I630" s="18" t="n">
        <f aca="false">IF($H630="",0,ROUND($H630*AdatFaizOran/AdatYilGunSayisi,2))</f>
        <v>0</v>
      </c>
      <c r="J630" s="22"/>
    </row>
    <row r="631" customFormat="false" ht="15" hidden="false" customHeight="false" outlineLevel="0" collapsed="false">
      <c r="A631" s="21"/>
      <c r="B631" s="22"/>
      <c r="C631" s="22"/>
      <c r="D631" s="23"/>
      <c r="E631" s="20" t="str">
        <f aca="false">IF($A631="","",IF($C631="Borç",-$D631,$D631))</f>
        <v/>
      </c>
      <c r="F631" s="18" t="str">
        <f aca="false">IF($A631="","",IFERROR(IF(INDEX(tblOrtak[Ortak Adı],ROW($A631)-ROW(tblOrtak[[#Headers],[Tarih]])-1)=$B631,INDEX(tblOrtak[Bakiye (₺)],ROW($A631)-ROW(tblOrtak[[#Headers],[Tarih]])-1)+$E631,$E631),$E631))</f>
        <v/>
      </c>
      <c r="G631" s="19" t="str">
        <f aca="false">IF($A631="","",IFERROR(IF(INDEX(tblOrtak[Tarih],ROW($A631)-ROW(tblOrtak[[#Headers],[Tarih]])+1)=0,RaporTarihi,INDEX(tblOrtak[Tarih],ROW($A631)-ROW(tblOrtak[[#Headers],[Tarih]])+1))-$A631,RaporTarihi-$A631))</f>
        <v/>
      </c>
      <c r="H631" s="18" t="n">
        <f aca="false">IF($F631="",0,ROUND($F631*$G631,0))</f>
        <v>0</v>
      </c>
      <c r="I631" s="18" t="n">
        <f aca="false">IF($H631="",0,ROUND($H631*AdatFaizOran/AdatYilGunSayisi,2))</f>
        <v>0</v>
      </c>
      <c r="J631" s="22"/>
    </row>
    <row r="632" customFormat="false" ht="15" hidden="false" customHeight="false" outlineLevel="0" collapsed="false">
      <c r="A632" s="21"/>
      <c r="B632" s="22"/>
      <c r="C632" s="22"/>
      <c r="D632" s="23"/>
      <c r="E632" s="20" t="str">
        <f aca="false">IF($A632="","",IF($C632="Borç",-$D632,$D632))</f>
        <v/>
      </c>
      <c r="F632" s="18" t="str">
        <f aca="false">IF($A632="","",IFERROR(IF(INDEX(tblOrtak[Ortak Adı],ROW($A632)-ROW(tblOrtak[[#Headers],[Tarih]])-1)=$B632,INDEX(tblOrtak[Bakiye (₺)],ROW($A632)-ROW(tblOrtak[[#Headers],[Tarih]])-1)+$E632,$E632),$E632))</f>
        <v/>
      </c>
      <c r="G632" s="19" t="str">
        <f aca="false">IF($A632="","",IFERROR(IF(INDEX(tblOrtak[Tarih],ROW($A632)-ROW(tblOrtak[[#Headers],[Tarih]])+1)=0,RaporTarihi,INDEX(tblOrtak[Tarih],ROW($A632)-ROW(tblOrtak[[#Headers],[Tarih]])+1))-$A632,RaporTarihi-$A632))</f>
        <v/>
      </c>
      <c r="H632" s="18" t="n">
        <f aca="false">IF($F632="",0,ROUND($F632*$G632,0))</f>
        <v>0</v>
      </c>
      <c r="I632" s="18" t="n">
        <f aca="false">IF($H632="",0,ROUND($H632*AdatFaizOran/AdatYilGunSayisi,2))</f>
        <v>0</v>
      </c>
      <c r="J632" s="22"/>
    </row>
    <row r="633" customFormat="false" ht="15" hidden="false" customHeight="false" outlineLevel="0" collapsed="false">
      <c r="A633" s="21"/>
      <c r="B633" s="22"/>
      <c r="C633" s="22"/>
      <c r="D633" s="23"/>
      <c r="E633" s="20" t="str">
        <f aca="false">IF($A633="","",IF($C633="Borç",-$D633,$D633))</f>
        <v/>
      </c>
      <c r="F633" s="18" t="str">
        <f aca="false">IF($A633="","",IFERROR(IF(INDEX(tblOrtak[Ortak Adı],ROW($A633)-ROW(tblOrtak[[#Headers],[Tarih]])-1)=$B633,INDEX(tblOrtak[Bakiye (₺)],ROW($A633)-ROW(tblOrtak[[#Headers],[Tarih]])-1)+$E633,$E633),$E633))</f>
        <v/>
      </c>
      <c r="G633" s="19" t="str">
        <f aca="false">IF($A633="","",IFERROR(IF(INDEX(tblOrtak[Tarih],ROW($A633)-ROW(tblOrtak[[#Headers],[Tarih]])+1)=0,RaporTarihi,INDEX(tblOrtak[Tarih],ROW($A633)-ROW(tblOrtak[[#Headers],[Tarih]])+1))-$A633,RaporTarihi-$A633))</f>
        <v/>
      </c>
      <c r="H633" s="18" t="n">
        <f aca="false">IF($F633="",0,ROUND($F633*$G633,0))</f>
        <v>0</v>
      </c>
      <c r="I633" s="18" t="n">
        <f aca="false">IF($H633="",0,ROUND($H633*AdatFaizOran/AdatYilGunSayisi,2))</f>
        <v>0</v>
      </c>
      <c r="J633" s="22"/>
    </row>
    <row r="634" customFormat="false" ht="15" hidden="false" customHeight="false" outlineLevel="0" collapsed="false">
      <c r="A634" s="21"/>
      <c r="B634" s="22"/>
      <c r="C634" s="22"/>
      <c r="D634" s="23"/>
      <c r="E634" s="20" t="str">
        <f aca="false">IF($A634="","",IF($C634="Borç",-$D634,$D634))</f>
        <v/>
      </c>
      <c r="F634" s="18" t="str">
        <f aca="false">IF($A634="","",IFERROR(IF(INDEX(tblOrtak[Ortak Adı],ROW($A634)-ROW(tblOrtak[[#Headers],[Tarih]])-1)=$B634,INDEX(tblOrtak[Bakiye (₺)],ROW($A634)-ROW(tblOrtak[[#Headers],[Tarih]])-1)+$E634,$E634),$E634))</f>
        <v/>
      </c>
      <c r="G634" s="19" t="str">
        <f aca="false">IF($A634="","",IFERROR(IF(INDEX(tblOrtak[Tarih],ROW($A634)-ROW(tblOrtak[[#Headers],[Tarih]])+1)=0,RaporTarihi,INDEX(tblOrtak[Tarih],ROW($A634)-ROW(tblOrtak[[#Headers],[Tarih]])+1))-$A634,RaporTarihi-$A634))</f>
        <v/>
      </c>
      <c r="H634" s="18" t="n">
        <f aca="false">IF($F634="",0,ROUND($F634*$G634,0))</f>
        <v>0</v>
      </c>
      <c r="I634" s="18" t="n">
        <f aca="false">IF($H634="",0,ROUND($H634*AdatFaizOran/AdatYilGunSayisi,2))</f>
        <v>0</v>
      </c>
      <c r="J634" s="22"/>
    </row>
    <row r="635" customFormat="false" ht="15" hidden="false" customHeight="false" outlineLevel="0" collapsed="false">
      <c r="A635" s="21"/>
      <c r="B635" s="22"/>
      <c r="C635" s="22"/>
      <c r="D635" s="23"/>
      <c r="E635" s="20" t="str">
        <f aca="false">IF($A635="","",IF($C635="Borç",-$D635,$D635))</f>
        <v/>
      </c>
      <c r="F635" s="18" t="str">
        <f aca="false">IF($A635="","",IFERROR(IF(INDEX(tblOrtak[Ortak Adı],ROW($A635)-ROW(tblOrtak[[#Headers],[Tarih]])-1)=$B635,INDEX(tblOrtak[Bakiye (₺)],ROW($A635)-ROW(tblOrtak[[#Headers],[Tarih]])-1)+$E635,$E635),$E635))</f>
        <v/>
      </c>
      <c r="G635" s="19" t="str">
        <f aca="false">IF($A635="","",IFERROR(IF(INDEX(tblOrtak[Tarih],ROW($A635)-ROW(tblOrtak[[#Headers],[Tarih]])+1)=0,RaporTarihi,INDEX(tblOrtak[Tarih],ROW($A635)-ROW(tblOrtak[[#Headers],[Tarih]])+1))-$A635,RaporTarihi-$A635))</f>
        <v/>
      </c>
      <c r="H635" s="18" t="n">
        <f aca="false">IF($F635="",0,ROUND($F635*$G635,0))</f>
        <v>0</v>
      </c>
      <c r="I635" s="18" t="n">
        <f aca="false">IF($H635="",0,ROUND($H635*AdatFaizOran/AdatYilGunSayisi,2))</f>
        <v>0</v>
      </c>
      <c r="J635" s="22"/>
    </row>
    <row r="636" customFormat="false" ht="15" hidden="false" customHeight="false" outlineLevel="0" collapsed="false">
      <c r="A636" s="21"/>
      <c r="B636" s="22"/>
      <c r="C636" s="22"/>
      <c r="D636" s="23"/>
      <c r="E636" s="20" t="str">
        <f aca="false">IF($A636="","",IF($C636="Borç",-$D636,$D636))</f>
        <v/>
      </c>
      <c r="F636" s="18" t="str">
        <f aca="false">IF($A636="","",IFERROR(IF(INDEX(tblOrtak[Ortak Adı],ROW($A636)-ROW(tblOrtak[[#Headers],[Tarih]])-1)=$B636,INDEX(tblOrtak[Bakiye (₺)],ROW($A636)-ROW(tblOrtak[[#Headers],[Tarih]])-1)+$E636,$E636),$E636))</f>
        <v/>
      </c>
      <c r="G636" s="19" t="str">
        <f aca="false">IF($A636="","",IFERROR(IF(INDEX(tblOrtak[Tarih],ROW($A636)-ROW(tblOrtak[[#Headers],[Tarih]])+1)=0,RaporTarihi,INDEX(tblOrtak[Tarih],ROW($A636)-ROW(tblOrtak[[#Headers],[Tarih]])+1))-$A636,RaporTarihi-$A636))</f>
        <v/>
      </c>
      <c r="H636" s="18" t="n">
        <f aca="false">IF($F636="",0,ROUND($F636*$G636,0))</f>
        <v>0</v>
      </c>
      <c r="I636" s="18" t="n">
        <f aca="false">IF($H636="",0,ROUND($H636*AdatFaizOran/AdatYilGunSayisi,2))</f>
        <v>0</v>
      </c>
      <c r="J636" s="22"/>
    </row>
    <row r="637" customFormat="false" ht="15" hidden="false" customHeight="false" outlineLevel="0" collapsed="false">
      <c r="A637" s="21"/>
      <c r="B637" s="22"/>
      <c r="C637" s="22"/>
      <c r="D637" s="23"/>
      <c r="E637" s="20" t="str">
        <f aca="false">IF($A637="","",IF($C637="Borç",-$D637,$D637))</f>
        <v/>
      </c>
      <c r="F637" s="18" t="str">
        <f aca="false">IF($A637="","",IFERROR(IF(INDEX(tblOrtak[Ortak Adı],ROW($A637)-ROW(tblOrtak[[#Headers],[Tarih]])-1)=$B637,INDEX(tblOrtak[Bakiye (₺)],ROW($A637)-ROW(tblOrtak[[#Headers],[Tarih]])-1)+$E637,$E637),$E637))</f>
        <v/>
      </c>
      <c r="G637" s="19" t="str">
        <f aca="false">IF($A637="","",IFERROR(IF(INDEX(tblOrtak[Tarih],ROW($A637)-ROW(tblOrtak[[#Headers],[Tarih]])+1)=0,RaporTarihi,INDEX(tblOrtak[Tarih],ROW($A637)-ROW(tblOrtak[[#Headers],[Tarih]])+1))-$A637,RaporTarihi-$A637))</f>
        <v/>
      </c>
      <c r="H637" s="18" t="n">
        <f aca="false">IF($F637="",0,ROUND($F637*$G637,0))</f>
        <v>0</v>
      </c>
      <c r="I637" s="18" t="n">
        <f aca="false">IF($H637="",0,ROUND($H637*AdatFaizOran/AdatYilGunSayisi,2))</f>
        <v>0</v>
      </c>
      <c r="J637" s="22"/>
    </row>
    <row r="638" customFormat="false" ht="15" hidden="false" customHeight="false" outlineLevel="0" collapsed="false">
      <c r="A638" s="21"/>
      <c r="B638" s="22"/>
      <c r="C638" s="22"/>
      <c r="D638" s="23"/>
      <c r="E638" s="20" t="str">
        <f aca="false">IF($A638="","",IF($C638="Borç",-$D638,$D638))</f>
        <v/>
      </c>
      <c r="F638" s="18" t="str">
        <f aca="false">IF($A638="","",IFERROR(IF(INDEX(tblOrtak[Ortak Adı],ROW($A638)-ROW(tblOrtak[[#Headers],[Tarih]])-1)=$B638,INDEX(tblOrtak[Bakiye (₺)],ROW($A638)-ROW(tblOrtak[[#Headers],[Tarih]])-1)+$E638,$E638),$E638))</f>
        <v/>
      </c>
      <c r="G638" s="19" t="str">
        <f aca="false">IF($A638="","",IFERROR(IF(INDEX(tblOrtak[Tarih],ROW($A638)-ROW(tblOrtak[[#Headers],[Tarih]])+1)=0,RaporTarihi,INDEX(tblOrtak[Tarih],ROW($A638)-ROW(tblOrtak[[#Headers],[Tarih]])+1))-$A638,RaporTarihi-$A638))</f>
        <v/>
      </c>
      <c r="H638" s="18" t="n">
        <f aca="false">IF($F638="",0,ROUND($F638*$G638,0))</f>
        <v>0</v>
      </c>
      <c r="I638" s="18" t="n">
        <f aca="false">IF($H638="",0,ROUND($H638*AdatFaizOran/AdatYilGunSayisi,2))</f>
        <v>0</v>
      </c>
      <c r="J638" s="22"/>
    </row>
    <row r="639" customFormat="false" ht="15" hidden="false" customHeight="false" outlineLevel="0" collapsed="false">
      <c r="A639" s="21"/>
      <c r="B639" s="22"/>
      <c r="C639" s="22"/>
      <c r="D639" s="23"/>
      <c r="E639" s="20" t="str">
        <f aca="false">IF($A639="","",IF($C639="Borç",-$D639,$D639))</f>
        <v/>
      </c>
      <c r="F639" s="18" t="str">
        <f aca="false">IF($A639="","",IFERROR(IF(INDEX(tblOrtak[Ortak Adı],ROW($A639)-ROW(tblOrtak[[#Headers],[Tarih]])-1)=$B639,INDEX(tblOrtak[Bakiye (₺)],ROW($A639)-ROW(tblOrtak[[#Headers],[Tarih]])-1)+$E639,$E639),$E639))</f>
        <v/>
      </c>
      <c r="G639" s="19" t="str">
        <f aca="false">IF($A639="","",IFERROR(IF(INDEX(tblOrtak[Tarih],ROW($A639)-ROW(tblOrtak[[#Headers],[Tarih]])+1)=0,RaporTarihi,INDEX(tblOrtak[Tarih],ROW($A639)-ROW(tblOrtak[[#Headers],[Tarih]])+1))-$A639,RaporTarihi-$A639))</f>
        <v/>
      </c>
      <c r="H639" s="18" t="n">
        <f aca="false">IF($F639="",0,ROUND($F639*$G639,0))</f>
        <v>0</v>
      </c>
      <c r="I639" s="18" t="n">
        <f aca="false">IF($H639="",0,ROUND($H639*AdatFaizOran/AdatYilGunSayisi,2))</f>
        <v>0</v>
      </c>
      <c r="J639" s="22"/>
    </row>
    <row r="640" customFormat="false" ht="15" hidden="false" customHeight="false" outlineLevel="0" collapsed="false">
      <c r="A640" s="21"/>
      <c r="B640" s="22"/>
      <c r="C640" s="22"/>
      <c r="D640" s="23"/>
      <c r="E640" s="20" t="str">
        <f aca="false">IF($A640="","",IF($C640="Borç",-$D640,$D640))</f>
        <v/>
      </c>
      <c r="F640" s="18" t="str">
        <f aca="false">IF($A640="","",IFERROR(IF(INDEX(tblOrtak[Ortak Adı],ROW($A640)-ROW(tblOrtak[[#Headers],[Tarih]])-1)=$B640,INDEX(tblOrtak[Bakiye (₺)],ROW($A640)-ROW(tblOrtak[[#Headers],[Tarih]])-1)+$E640,$E640),$E640))</f>
        <v/>
      </c>
      <c r="G640" s="19" t="str">
        <f aca="false">IF($A640="","",IFERROR(IF(INDEX(tblOrtak[Tarih],ROW($A640)-ROW(tblOrtak[[#Headers],[Tarih]])+1)=0,RaporTarihi,INDEX(tblOrtak[Tarih],ROW($A640)-ROW(tblOrtak[[#Headers],[Tarih]])+1))-$A640,RaporTarihi-$A640))</f>
        <v/>
      </c>
      <c r="H640" s="18" t="n">
        <f aca="false">IF($F640="",0,ROUND($F640*$G640,0))</f>
        <v>0</v>
      </c>
      <c r="I640" s="18" t="n">
        <f aca="false">IF($H640="",0,ROUND($H640*AdatFaizOran/AdatYilGunSayisi,2))</f>
        <v>0</v>
      </c>
      <c r="J640" s="22"/>
    </row>
    <row r="641" customFormat="false" ht="15" hidden="false" customHeight="false" outlineLevel="0" collapsed="false">
      <c r="A641" s="21"/>
      <c r="B641" s="22"/>
      <c r="C641" s="22"/>
      <c r="D641" s="23"/>
      <c r="E641" s="20" t="str">
        <f aca="false">IF($A641="","",IF($C641="Borç",-$D641,$D641))</f>
        <v/>
      </c>
      <c r="F641" s="18" t="str">
        <f aca="false">IF($A641="","",IFERROR(IF(INDEX(tblOrtak[Ortak Adı],ROW($A641)-ROW(tblOrtak[[#Headers],[Tarih]])-1)=$B641,INDEX(tblOrtak[Bakiye (₺)],ROW($A641)-ROW(tblOrtak[[#Headers],[Tarih]])-1)+$E641,$E641),$E641))</f>
        <v/>
      </c>
      <c r="G641" s="19" t="str">
        <f aca="false">IF($A641="","",IFERROR(IF(INDEX(tblOrtak[Tarih],ROW($A641)-ROW(tblOrtak[[#Headers],[Tarih]])+1)=0,RaporTarihi,INDEX(tblOrtak[Tarih],ROW($A641)-ROW(tblOrtak[[#Headers],[Tarih]])+1))-$A641,RaporTarihi-$A641))</f>
        <v/>
      </c>
      <c r="H641" s="18" t="n">
        <f aca="false">IF($F641="",0,ROUND($F641*$G641,0))</f>
        <v>0</v>
      </c>
      <c r="I641" s="18" t="n">
        <f aca="false">IF($H641="",0,ROUND($H641*AdatFaizOran/AdatYilGunSayisi,2))</f>
        <v>0</v>
      </c>
      <c r="J641" s="22"/>
    </row>
    <row r="642" customFormat="false" ht="15" hidden="false" customHeight="false" outlineLevel="0" collapsed="false">
      <c r="A642" s="21"/>
      <c r="B642" s="22"/>
      <c r="C642" s="22"/>
      <c r="D642" s="23"/>
      <c r="E642" s="20" t="str">
        <f aca="false">IF($A642="","",IF($C642="Borç",-$D642,$D642))</f>
        <v/>
      </c>
      <c r="F642" s="18" t="str">
        <f aca="false">IF($A642="","",IFERROR(IF(INDEX(tblOrtak[Ortak Adı],ROW($A642)-ROW(tblOrtak[[#Headers],[Tarih]])-1)=$B642,INDEX(tblOrtak[Bakiye (₺)],ROW($A642)-ROW(tblOrtak[[#Headers],[Tarih]])-1)+$E642,$E642),$E642))</f>
        <v/>
      </c>
      <c r="G642" s="19" t="str">
        <f aca="false">IF($A642="","",IFERROR(IF(INDEX(tblOrtak[Tarih],ROW($A642)-ROW(tblOrtak[[#Headers],[Tarih]])+1)=0,RaporTarihi,INDEX(tblOrtak[Tarih],ROW($A642)-ROW(tblOrtak[[#Headers],[Tarih]])+1))-$A642,RaporTarihi-$A642))</f>
        <v/>
      </c>
      <c r="H642" s="18" t="n">
        <f aca="false">IF($F642="",0,ROUND($F642*$G642,0))</f>
        <v>0</v>
      </c>
      <c r="I642" s="18" t="n">
        <f aca="false">IF($H642="",0,ROUND($H642*AdatFaizOran/AdatYilGunSayisi,2))</f>
        <v>0</v>
      </c>
      <c r="J642" s="22"/>
    </row>
    <row r="643" customFormat="false" ht="15" hidden="false" customHeight="false" outlineLevel="0" collapsed="false">
      <c r="A643" s="21"/>
      <c r="B643" s="22"/>
      <c r="C643" s="22"/>
      <c r="D643" s="23"/>
      <c r="E643" s="20" t="str">
        <f aca="false">IF($A643="","",IF($C643="Borç",-$D643,$D643))</f>
        <v/>
      </c>
      <c r="F643" s="18" t="str">
        <f aca="false">IF($A643="","",IFERROR(IF(INDEX(tblOrtak[Ortak Adı],ROW($A643)-ROW(tblOrtak[[#Headers],[Tarih]])-1)=$B643,INDEX(tblOrtak[Bakiye (₺)],ROW($A643)-ROW(tblOrtak[[#Headers],[Tarih]])-1)+$E643,$E643),$E643))</f>
        <v/>
      </c>
      <c r="G643" s="19" t="str">
        <f aca="false">IF($A643="","",IFERROR(IF(INDEX(tblOrtak[Tarih],ROW($A643)-ROW(tblOrtak[[#Headers],[Tarih]])+1)=0,RaporTarihi,INDEX(tblOrtak[Tarih],ROW($A643)-ROW(tblOrtak[[#Headers],[Tarih]])+1))-$A643,RaporTarihi-$A643))</f>
        <v/>
      </c>
      <c r="H643" s="18" t="n">
        <f aca="false">IF($F643="",0,ROUND($F643*$G643,0))</f>
        <v>0</v>
      </c>
      <c r="I643" s="18" t="n">
        <f aca="false">IF($H643="",0,ROUND($H643*AdatFaizOran/AdatYilGunSayisi,2))</f>
        <v>0</v>
      </c>
      <c r="J643" s="22"/>
    </row>
    <row r="644" customFormat="false" ht="15" hidden="false" customHeight="false" outlineLevel="0" collapsed="false">
      <c r="A644" s="21"/>
      <c r="B644" s="22"/>
      <c r="C644" s="22"/>
      <c r="D644" s="23"/>
      <c r="E644" s="20" t="str">
        <f aca="false">IF($A644="","",IF($C644="Borç",-$D644,$D644))</f>
        <v/>
      </c>
      <c r="F644" s="18" t="str">
        <f aca="false">IF($A644="","",IFERROR(IF(INDEX(tblOrtak[Ortak Adı],ROW($A644)-ROW(tblOrtak[[#Headers],[Tarih]])-1)=$B644,INDEX(tblOrtak[Bakiye (₺)],ROW($A644)-ROW(tblOrtak[[#Headers],[Tarih]])-1)+$E644,$E644),$E644))</f>
        <v/>
      </c>
      <c r="G644" s="19" t="str">
        <f aca="false">IF($A644="","",IFERROR(IF(INDEX(tblOrtak[Tarih],ROW($A644)-ROW(tblOrtak[[#Headers],[Tarih]])+1)=0,RaporTarihi,INDEX(tblOrtak[Tarih],ROW($A644)-ROW(tblOrtak[[#Headers],[Tarih]])+1))-$A644,RaporTarihi-$A644))</f>
        <v/>
      </c>
      <c r="H644" s="18" t="n">
        <f aca="false">IF($F644="",0,ROUND($F644*$G644,0))</f>
        <v>0</v>
      </c>
      <c r="I644" s="18" t="n">
        <f aca="false">IF($H644="",0,ROUND($H644*AdatFaizOran/AdatYilGunSayisi,2))</f>
        <v>0</v>
      </c>
      <c r="J644" s="22"/>
    </row>
    <row r="645" customFormat="false" ht="15" hidden="false" customHeight="false" outlineLevel="0" collapsed="false">
      <c r="A645" s="21"/>
      <c r="B645" s="22"/>
      <c r="C645" s="22"/>
      <c r="D645" s="23"/>
      <c r="E645" s="20" t="str">
        <f aca="false">IF($A645="","",IF($C645="Borç",-$D645,$D645))</f>
        <v/>
      </c>
      <c r="F645" s="18" t="str">
        <f aca="false">IF($A645="","",IFERROR(IF(INDEX(tblOrtak[Ortak Adı],ROW($A645)-ROW(tblOrtak[[#Headers],[Tarih]])-1)=$B645,INDEX(tblOrtak[Bakiye (₺)],ROW($A645)-ROW(tblOrtak[[#Headers],[Tarih]])-1)+$E645,$E645),$E645))</f>
        <v/>
      </c>
      <c r="G645" s="19" t="str">
        <f aca="false">IF($A645="","",IFERROR(IF(INDEX(tblOrtak[Tarih],ROW($A645)-ROW(tblOrtak[[#Headers],[Tarih]])+1)=0,RaporTarihi,INDEX(tblOrtak[Tarih],ROW($A645)-ROW(tblOrtak[[#Headers],[Tarih]])+1))-$A645,RaporTarihi-$A645))</f>
        <v/>
      </c>
      <c r="H645" s="18" t="n">
        <f aca="false">IF($F645="",0,ROUND($F645*$G645,0))</f>
        <v>0</v>
      </c>
      <c r="I645" s="18" t="n">
        <f aca="false">IF($H645="",0,ROUND($H645*AdatFaizOran/AdatYilGunSayisi,2))</f>
        <v>0</v>
      </c>
      <c r="J645" s="22"/>
    </row>
    <row r="646" customFormat="false" ht="15" hidden="false" customHeight="false" outlineLevel="0" collapsed="false">
      <c r="A646" s="21"/>
      <c r="B646" s="22"/>
      <c r="C646" s="22"/>
      <c r="D646" s="23"/>
      <c r="E646" s="20" t="str">
        <f aca="false">IF($A646="","",IF($C646="Borç",-$D646,$D646))</f>
        <v/>
      </c>
      <c r="F646" s="18" t="str">
        <f aca="false">IF($A646="","",IFERROR(IF(INDEX(tblOrtak[Ortak Adı],ROW($A646)-ROW(tblOrtak[[#Headers],[Tarih]])-1)=$B646,INDEX(tblOrtak[Bakiye (₺)],ROW($A646)-ROW(tblOrtak[[#Headers],[Tarih]])-1)+$E646,$E646),$E646))</f>
        <v/>
      </c>
      <c r="G646" s="19" t="str">
        <f aca="false">IF($A646="","",IFERROR(IF(INDEX(tblOrtak[Tarih],ROW($A646)-ROW(tblOrtak[[#Headers],[Tarih]])+1)=0,RaporTarihi,INDEX(tblOrtak[Tarih],ROW($A646)-ROW(tblOrtak[[#Headers],[Tarih]])+1))-$A646,RaporTarihi-$A646))</f>
        <v/>
      </c>
      <c r="H646" s="18" t="n">
        <f aca="false">IF($F646="",0,ROUND($F646*$G646,0))</f>
        <v>0</v>
      </c>
      <c r="I646" s="18" t="n">
        <f aca="false">IF($H646="",0,ROUND($H646*AdatFaizOran/AdatYilGunSayisi,2))</f>
        <v>0</v>
      </c>
      <c r="J646" s="22"/>
    </row>
    <row r="647" customFormat="false" ht="15" hidden="false" customHeight="false" outlineLevel="0" collapsed="false">
      <c r="A647" s="21"/>
      <c r="B647" s="22"/>
      <c r="C647" s="22"/>
      <c r="D647" s="23"/>
      <c r="E647" s="20" t="str">
        <f aca="false">IF($A647="","",IF($C647="Borç",-$D647,$D647))</f>
        <v/>
      </c>
      <c r="F647" s="18" t="str">
        <f aca="false">IF($A647="","",IFERROR(IF(INDEX(tblOrtak[Ortak Adı],ROW($A647)-ROW(tblOrtak[[#Headers],[Tarih]])-1)=$B647,INDEX(tblOrtak[Bakiye (₺)],ROW($A647)-ROW(tblOrtak[[#Headers],[Tarih]])-1)+$E647,$E647),$E647))</f>
        <v/>
      </c>
      <c r="G647" s="19" t="str">
        <f aca="false">IF($A647="","",IFERROR(IF(INDEX(tblOrtak[Tarih],ROW($A647)-ROW(tblOrtak[[#Headers],[Tarih]])+1)=0,RaporTarihi,INDEX(tblOrtak[Tarih],ROW($A647)-ROW(tblOrtak[[#Headers],[Tarih]])+1))-$A647,RaporTarihi-$A647))</f>
        <v/>
      </c>
      <c r="H647" s="18" t="n">
        <f aca="false">IF($F647="",0,ROUND($F647*$G647,0))</f>
        <v>0</v>
      </c>
      <c r="I647" s="18" t="n">
        <f aca="false">IF($H647="",0,ROUND($H647*AdatFaizOran/AdatYilGunSayisi,2))</f>
        <v>0</v>
      </c>
      <c r="J647" s="22"/>
    </row>
    <row r="648" customFormat="false" ht="15" hidden="false" customHeight="false" outlineLevel="0" collapsed="false">
      <c r="A648" s="21"/>
      <c r="B648" s="22"/>
      <c r="C648" s="22"/>
      <c r="D648" s="23"/>
      <c r="E648" s="20" t="str">
        <f aca="false">IF($A648="","",IF($C648="Borç",-$D648,$D648))</f>
        <v/>
      </c>
      <c r="F648" s="18" t="str">
        <f aca="false">IF($A648="","",IFERROR(IF(INDEX(tblOrtak[Ortak Adı],ROW($A648)-ROW(tblOrtak[[#Headers],[Tarih]])-1)=$B648,INDEX(tblOrtak[Bakiye (₺)],ROW($A648)-ROW(tblOrtak[[#Headers],[Tarih]])-1)+$E648,$E648),$E648))</f>
        <v/>
      </c>
      <c r="G648" s="19" t="str">
        <f aca="false">IF($A648="","",IFERROR(IF(INDEX(tblOrtak[Tarih],ROW($A648)-ROW(tblOrtak[[#Headers],[Tarih]])+1)=0,RaporTarihi,INDEX(tblOrtak[Tarih],ROW($A648)-ROW(tblOrtak[[#Headers],[Tarih]])+1))-$A648,RaporTarihi-$A648))</f>
        <v/>
      </c>
      <c r="H648" s="18" t="n">
        <f aca="false">IF($F648="",0,ROUND($F648*$G648,0))</f>
        <v>0</v>
      </c>
      <c r="I648" s="18" t="n">
        <f aca="false">IF($H648="",0,ROUND($H648*AdatFaizOran/AdatYilGunSayisi,2))</f>
        <v>0</v>
      </c>
      <c r="J648" s="22"/>
    </row>
    <row r="649" customFormat="false" ht="15" hidden="false" customHeight="false" outlineLevel="0" collapsed="false">
      <c r="A649" s="21"/>
      <c r="B649" s="22"/>
      <c r="C649" s="22"/>
      <c r="D649" s="23"/>
      <c r="E649" s="20" t="str">
        <f aca="false">IF($A649="","",IF($C649="Borç",-$D649,$D649))</f>
        <v/>
      </c>
      <c r="F649" s="18" t="str">
        <f aca="false">IF($A649="","",IFERROR(IF(INDEX(tblOrtak[Ortak Adı],ROW($A649)-ROW(tblOrtak[[#Headers],[Tarih]])-1)=$B649,INDEX(tblOrtak[Bakiye (₺)],ROW($A649)-ROW(tblOrtak[[#Headers],[Tarih]])-1)+$E649,$E649),$E649))</f>
        <v/>
      </c>
      <c r="G649" s="19" t="str">
        <f aca="false">IF($A649="","",IFERROR(IF(INDEX(tblOrtak[Tarih],ROW($A649)-ROW(tblOrtak[[#Headers],[Tarih]])+1)=0,RaporTarihi,INDEX(tblOrtak[Tarih],ROW($A649)-ROW(tblOrtak[[#Headers],[Tarih]])+1))-$A649,RaporTarihi-$A649))</f>
        <v/>
      </c>
      <c r="H649" s="18" t="n">
        <f aca="false">IF($F649="",0,ROUND($F649*$G649,0))</f>
        <v>0</v>
      </c>
      <c r="I649" s="18" t="n">
        <f aca="false">IF($H649="",0,ROUND($H649*AdatFaizOran/AdatYilGunSayisi,2))</f>
        <v>0</v>
      </c>
      <c r="J649" s="22"/>
    </row>
    <row r="650" customFormat="false" ht="15" hidden="false" customHeight="false" outlineLevel="0" collapsed="false">
      <c r="A650" s="21"/>
      <c r="B650" s="22"/>
      <c r="C650" s="22"/>
      <c r="D650" s="23"/>
      <c r="E650" s="20" t="str">
        <f aca="false">IF($A650="","",IF($C650="Borç",-$D650,$D650))</f>
        <v/>
      </c>
      <c r="F650" s="18" t="str">
        <f aca="false">IF($A650="","",IFERROR(IF(INDEX(tblOrtak[Ortak Adı],ROW($A650)-ROW(tblOrtak[[#Headers],[Tarih]])-1)=$B650,INDEX(tblOrtak[Bakiye (₺)],ROW($A650)-ROW(tblOrtak[[#Headers],[Tarih]])-1)+$E650,$E650),$E650))</f>
        <v/>
      </c>
      <c r="G650" s="19" t="str">
        <f aca="false">IF($A650="","",IFERROR(IF(INDEX(tblOrtak[Tarih],ROW($A650)-ROW(tblOrtak[[#Headers],[Tarih]])+1)=0,RaporTarihi,INDEX(tblOrtak[Tarih],ROW($A650)-ROW(tblOrtak[[#Headers],[Tarih]])+1))-$A650,RaporTarihi-$A650))</f>
        <v/>
      </c>
      <c r="H650" s="18" t="n">
        <f aca="false">IF($F650="",0,ROUND($F650*$G650,0))</f>
        <v>0</v>
      </c>
      <c r="I650" s="18" t="n">
        <f aca="false">IF($H650="",0,ROUND($H650*AdatFaizOran/AdatYilGunSayisi,2))</f>
        <v>0</v>
      </c>
      <c r="J650" s="22"/>
    </row>
    <row r="651" customFormat="false" ht="15" hidden="false" customHeight="false" outlineLevel="0" collapsed="false">
      <c r="A651" s="21"/>
      <c r="B651" s="22"/>
      <c r="C651" s="22"/>
      <c r="D651" s="23"/>
      <c r="E651" s="20" t="str">
        <f aca="false">IF($A651="","",IF($C651="Borç",-$D651,$D651))</f>
        <v/>
      </c>
      <c r="F651" s="18" t="str">
        <f aca="false">IF($A651="","",IFERROR(IF(INDEX(tblOrtak[Ortak Adı],ROW($A651)-ROW(tblOrtak[[#Headers],[Tarih]])-1)=$B651,INDEX(tblOrtak[Bakiye (₺)],ROW($A651)-ROW(tblOrtak[[#Headers],[Tarih]])-1)+$E651,$E651),$E651))</f>
        <v/>
      </c>
      <c r="G651" s="19" t="str">
        <f aca="false">IF($A651="","",IFERROR(IF(INDEX(tblOrtak[Tarih],ROW($A651)-ROW(tblOrtak[[#Headers],[Tarih]])+1)=0,RaporTarihi,INDEX(tblOrtak[Tarih],ROW($A651)-ROW(tblOrtak[[#Headers],[Tarih]])+1))-$A651,RaporTarihi-$A651))</f>
        <v/>
      </c>
      <c r="H651" s="18" t="n">
        <f aca="false">IF($F651="",0,ROUND($F651*$G651,0))</f>
        <v>0</v>
      </c>
      <c r="I651" s="18" t="n">
        <f aca="false">IF($H651="",0,ROUND($H651*AdatFaizOran/AdatYilGunSayisi,2))</f>
        <v>0</v>
      </c>
      <c r="J651" s="22"/>
    </row>
    <row r="652" customFormat="false" ht="15" hidden="false" customHeight="false" outlineLevel="0" collapsed="false">
      <c r="A652" s="21"/>
      <c r="B652" s="22"/>
      <c r="C652" s="22"/>
      <c r="D652" s="23"/>
      <c r="E652" s="20" t="str">
        <f aca="false">IF($A652="","",IF($C652="Borç",-$D652,$D652))</f>
        <v/>
      </c>
      <c r="F652" s="18" t="str">
        <f aca="false">IF($A652="","",IFERROR(IF(INDEX(tblOrtak[Ortak Adı],ROW($A652)-ROW(tblOrtak[[#Headers],[Tarih]])-1)=$B652,INDEX(tblOrtak[Bakiye (₺)],ROW($A652)-ROW(tblOrtak[[#Headers],[Tarih]])-1)+$E652,$E652),$E652))</f>
        <v/>
      </c>
      <c r="G652" s="19" t="str">
        <f aca="false">IF($A652="","",IFERROR(IF(INDEX(tblOrtak[Tarih],ROW($A652)-ROW(tblOrtak[[#Headers],[Tarih]])+1)=0,RaporTarihi,INDEX(tblOrtak[Tarih],ROW($A652)-ROW(tblOrtak[[#Headers],[Tarih]])+1))-$A652,RaporTarihi-$A652))</f>
        <v/>
      </c>
      <c r="H652" s="18" t="n">
        <f aca="false">IF($F652="",0,ROUND($F652*$G652,0))</f>
        <v>0</v>
      </c>
      <c r="I652" s="18" t="n">
        <f aca="false">IF($H652="",0,ROUND($H652*AdatFaizOran/AdatYilGunSayisi,2))</f>
        <v>0</v>
      </c>
      <c r="J652" s="22"/>
    </row>
    <row r="653" customFormat="false" ht="15" hidden="false" customHeight="false" outlineLevel="0" collapsed="false">
      <c r="A653" s="21"/>
      <c r="B653" s="22"/>
      <c r="C653" s="22"/>
      <c r="D653" s="23"/>
      <c r="E653" s="20" t="str">
        <f aca="false">IF($A653="","",IF($C653="Borç",-$D653,$D653))</f>
        <v/>
      </c>
      <c r="F653" s="18" t="str">
        <f aca="false">IF($A653="","",IFERROR(IF(INDEX(tblOrtak[Ortak Adı],ROW($A653)-ROW(tblOrtak[[#Headers],[Tarih]])-1)=$B653,INDEX(tblOrtak[Bakiye (₺)],ROW($A653)-ROW(tblOrtak[[#Headers],[Tarih]])-1)+$E653,$E653),$E653))</f>
        <v/>
      </c>
      <c r="G653" s="19" t="str">
        <f aca="false">IF($A653="","",IFERROR(IF(INDEX(tblOrtak[Tarih],ROW($A653)-ROW(tblOrtak[[#Headers],[Tarih]])+1)=0,RaporTarihi,INDEX(tblOrtak[Tarih],ROW($A653)-ROW(tblOrtak[[#Headers],[Tarih]])+1))-$A653,RaporTarihi-$A653))</f>
        <v/>
      </c>
      <c r="H653" s="18" t="n">
        <f aca="false">IF($F653="",0,ROUND($F653*$G653,0))</f>
        <v>0</v>
      </c>
      <c r="I653" s="18" t="n">
        <f aca="false">IF($H653="",0,ROUND($H653*AdatFaizOran/AdatYilGunSayisi,2))</f>
        <v>0</v>
      </c>
      <c r="J653" s="22"/>
    </row>
    <row r="654" customFormat="false" ht="15" hidden="false" customHeight="false" outlineLevel="0" collapsed="false">
      <c r="A654" s="21"/>
      <c r="B654" s="22"/>
      <c r="C654" s="22"/>
      <c r="D654" s="23"/>
      <c r="E654" s="20" t="str">
        <f aca="false">IF($A654="","",IF($C654="Borç",-$D654,$D654))</f>
        <v/>
      </c>
      <c r="F654" s="18" t="str">
        <f aca="false">IF($A654="","",IFERROR(IF(INDEX(tblOrtak[Ortak Adı],ROW($A654)-ROW(tblOrtak[[#Headers],[Tarih]])-1)=$B654,INDEX(tblOrtak[Bakiye (₺)],ROW($A654)-ROW(tblOrtak[[#Headers],[Tarih]])-1)+$E654,$E654),$E654))</f>
        <v/>
      </c>
      <c r="G654" s="19" t="str">
        <f aca="false">IF($A654="","",IFERROR(IF(INDEX(tblOrtak[Tarih],ROW($A654)-ROW(tblOrtak[[#Headers],[Tarih]])+1)=0,RaporTarihi,INDEX(tblOrtak[Tarih],ROW($A654)-ROW(tblOrtak[[#Headers],[Tarih]])+1))-$A654,RaporTarihi-$A654))</f>
        <v/>
      </c>
      <c r="H654" s="18" t="n">
        <f aca="false">IF($F654="",0,ROUND($F654*$G654,0))</f>
        <v>0</v>
      </c>
      <c r="I654" s="18" t="n">
        <f aca="false">IF($H654="",0,ROUND($H654*AdatFaizOran/AdatYilGunSayisi,2))</f>
        <v>0</v>
      </c>
      <c r="J654" s="22"/>
    </row>
    <row r="655" customFormat="false" ht="15" hidden="false" customHeight="false" outlineLevel="0" collapsed="false">
      <c r="A655" s="21"/>
      <c r="B655" s="22"/>
      <c r="C655" s="22"/>
      <c r="D655" s="23"/>
      <c r="E655" s="20" t="str">
        <f aca="false">IF($A655="","",IF($C655="Borç",-$D655,$D655))</f>
        <v/>
      </c>
      <c r="F655" s="18" t="str">
        <f aca="false">IF($A655="","",IFERROR(IF(INDEX(tblOrtak[Ortak Adı],ROW($A655)-ROW(tblOrtak[[#Headers],[Tarih]])-1)=$B655,INDEX(tblOrtak[Bakiye (₺)],ROW($A655)-ROW(tblOrtak[[#Headers],[Tarih]])-1)+$E655,$E655),$E655))</f>
        <v/>
      </c>
      <c r="G655" s="19" t="str">
        <f aca="false">IF($A655="","",IFERROR(IF(INDEX(tblOrtak[Tarih],ROW($A655)-ROW(tblOrtak[[#Headers],[Tarih]])+1)=0,RaporTarihi,INDEX(tblOrtak[Tarih],ROW($A655)-ROW(tblOrtak[[#Headers],[Tarih]])+1))-$A655,RaporTarihi-$A655))</f>
        <v/>
      </c>
      <c r="H655" s="18" t="n">
        <f aca="false">IF($F655="",0,ROUND($F655*$G655,0))</f>
        <v>0</v>
      </c>
      <c r="I655" s="18" t="n">
        <f aca="false">IF($H655="",0,ROUND($H655*AdatFaizOran/AdatYilGunSayisi,2))</f>
        <v>0</v>
      </c>
      <c r="J655" s="22"/>
    </row>
    <row r="656" customFormat="false" ht="15" hidden="false" customHeight="false" outlineLevel="0" collapsed="false">
      <c r="A656" s="21"/>
      <c r="B656" s="22"/>
      <c r="C656" s="22"/>
      <c r="D656" s="23"/>
      <c r="E656" s="20" t="str">
        <f aca="false">IF($A656="","",IF($C656="Borç",-$D656,$D656))</f>
        <v/>
      </c>
      <c r="F656" s="18" t="str">
        <f aca="false">IF($A656="","",IFERROR(IF(INDEX(tblOrtak[Ortak Adı],ROW($A656)-ROW(tblOrtak[[#Headers],[Tarih]])-1)=$B656,INDEX(tblOrtak[Bakiye (₺)],ROW($A656)-ROW(tblOrtak[[#Headers],[Tarih]])-1)+$E656,$E656),$E656))</f>
        <v/>
      </c>
      <c r="G656" s="19" t="str">
        <f aca="false">IF($A656="","",IFERROR(IF(INDEX(tblOrtak[Tarih],ROW($A656)-ROW(tblOrtak[[#Headers],[Tarih]])+1)=0,RaporTarihi,INDEX(tblOrtak[Tarih],ROW($A656)-ROW(tblOrtak[[#Headers],[Tarih]])+1))-$A656,RaporTarihi-$A656))</f>
        <v/>
      </c>
      <c r="H656" s="18" t="n">
        <f aca="false">IF($F656="",0,ROUND($F656*$G656,0))</f>
        <v>0</v>
      </c>
      <c r="I656" s="18" t="n">
        <f aca="false">IF($H656="",0,ROUND($H656*AdatFaizOran/AdatYilGunSayisi,2))</f>
        <v>0</v>
      </c>
      <c r="J656" s="22"/>
    </row>
    <row r="657" customFormat="false" ht="15" hidden="false" customHeight="false" outlineLevel="0" collapsed="false">
      <c r="A657" s="21"/>
      <c r="B657" s="22"/>
      <c r="C657" s="22"/>
      <c r="D657" s="23"/>
      <c r="E657" s="20" t="str">
        <f aca="false">IF($A657="","",IF($C657="Borç",-$D657,$D657))</f>
        <v/>
      </c>
      <c r="F657" s="18" t="str">
        <f aca="false">IF($A657="","",IFERROR(IF(INDEX(tblOrtak[Ortak Adı],ROW($A657)-ROW(tblOrtak[[#Headers],[Tarih]])-1)=$B657,INDEX(tblOrtak[Bakiye (₺)],ROW($A657)-ROW(tblOrtak[[#Headers],[Tarih]])-1)+$E657,$E657),$E657))</f>
        <v/>
      </c>
      <c r="G657" s="19" t="str">
        <f aca="false">IF($A657="","",IFERROR(IF(INDEX(tblOrtak[Tarih],ROW($A657)-ROW(tblOrtak[[#Headers],[Tarih]])+1)=0,RaporTarihi,INDEX(tblOrtak[Tarih],ROW($A657)-ROW(tblOrtak[[#Headers],[Tarih]])+1))-$A657,RaporTarihi-$A657))</f>
        <v/>
      </c>
      <c r="H657" s="18" t="n">
        <f aca="false">IF($F657="",0,ROUND($F657*$G657,0))</f>
        <v>0</v>
      </c>
      <c r="I657" s="18" t="n">
        <f aca="false">IF($H657="",0,ROUND($H657*AdatFaizOran/AdatYilGunSayisi,2))</f>
        <v>0</v>
      </c>
      <c r="J657" s="22"/>
    </row>
    <row r="658" customFormat="false" ht="15" hidden="false" customHeight="false" outlineLevel="0" collapsed="false">
      <c r="A658" s="21"/>
      <c r="B658" s="22"/>
      <c r="C658" s="22"/>
      <c r="D658" s="23"/>
      <c r="E658" s="20" t="str">
        <f aca="false">IF($A658="","",IF($C658="Borç",-$D658,$D658))</f>
        <v/>
      </c>
      <c r="F658" s="18" t="str">
        <f aca="false">IF($A658="","",IFERROR(IF(INDEX(tblOrtak[Ortak Adı],ROW($A658)-ROW(tblOrtak[[#Headers],[Tarih]])-1)=$B658,INDEX(tblOrtak[Bakiye (₺)],ROW($A658)-ROW(tblOrtak[[#Headers],[Tarih]])-1)+$E658,$E658),$E658))</f>
        <v/>
      </c>
      <c r="G658" s="19" t="str">
        <f aca="false">IF($A658="","",IFERROR(IF(INDEX(tblOrtak[Tarih],ROW($A658)-ROW(tblOrtak[[#Headers],[Tarih]])+1)=0,RaporTarihi,INDEX(tblOrtak[Tarih],ROW($A658)-ROW(tblOrtak[[#Headers],[Tarih]])+1))-$A658,RaporTarihi-$A658))</f>
        <v/>
      </c>
      <c r="H658" s="18" t="n">
        <f aca="false">IF($F658="",0,ROUND($F658*$G658,0))</f>
        <v>0</v>
      </c>
      <c r="I658" s="18" t="n">
        <f aca="false">IF($H658="",0,ROUND($H658*AdatFaizOran/AdatYilGunSayisi,2))</f>
        <v>0</v>
      </c>
      <c r="J658" s="22"/>
    </row>
    <row r="659" customFormat="false" ht="15" hidden="false" customHeight="false" outlineLevel="0" collapsed="false">
      <c r="A659" s="21"/>
      <c r="B659" s="22"/>
      <c r="C659" s="22"/>
      <c r="D659" s="23"/>
      <c r="E659" s="20" t="str">
        <f aca="false">IF($A659="","",IF($C659="Borç",-$D659,$D659))</f>
        <v/>
      </c>
      <c r="F659" s="18" t="str">
        <f aca="false">IF($A659="","",IFERROR(IF(INDEX(tblOrtak[Ortak Adı],ROW($A659)-ROW(tblOrtak[[#Headers],[Tarih]])-1)=$B659,INDEX(tblOrtak[Bakiye (₺)],ROW($A659)-ROW(tblOrtak[[#Headers],[Tarih]])-1)+$E659,$E659),$E659))</f>
        <v/>
      </c>
      <c r="G659" s="19" t="str">
        <f aca="false">IF($A659="","",IFERROR(IF(INDEX(tblOrtak[Tarih],ROW($A659)-ROW(tblOrtak[[#Headers],[Tarih]])+1)=0,RaporTarihi,INDEX(tblOrtak[Tarih],ROW($A659)-ROW(tblOrtak[[#Headers],[Tarih]])+1))-$A659,RaporTarihi-$A659))</f>
        <v/>
      </c>
      <c r="H659" s="18" t="n">
        <f aca="false">IF($F659="",0,ROUND($F659*$G659,0))</f>
        <v>0</v>
      </c>
      <c r="I659" s="18" t="n">
        <f aca="false">IF($H659="",0,ROUND($H659*AdatFaizOran/AdatYilGunSayisi,2))</f>
        <v>0</v>
      </c>
      <c r="J659" s="22"/>
    </row>
    <row r="660" customFormat="false" ht="15" hidden="false" customHeight="false" outlineLevel="0" collapsed="false">
      <c r="A660" s="21"/>
      <c r="B660" s="22"/>
      <c r="C660" s="22"/>
      <c r="D660" s="23"/>
      <c r="E660" s="20" t="str">
        <f aca="false">IF($A660="","",IF($C660="Borç",-$D660,$D660))</f>
        <v/>
      </c>
      <c r="F660" s="18" t="str">
        <f aca="false">IF($A660="","",IFERROR(IF(INDEX(tblOrtak[Ortak Adı],ROW($A660)-ROW(tblOrtak[[#Headers],[Tarih]])-1)=$B660,INDEX(tblOrtak[Bakiye (₺)],ROW($A660)-ROW(tblOrtak[[#Headers],[Tarih]])-1)+$E660,$E660),$E660))</f>
        <v/>
      </c>
      <c r="G660" s="19" t="str">
        <f aca="false">IF($A660="","",IFERROR(IF(INDEX(tblOrtak[Tarih],ROW($A660)-ROW(tblOrtak[[#Headers],[Tarih]])+1)=0,RaporTarihi,INDEX(tblOrtak[Tarih],ROW($A660)-ROW(tblOrtak[[#Headers],[Tarih]])+1))-$A660,RaporTarihi-$A660))</f>
        <v/>
      </c>
      <c r="H660" s="18" t="n">
        <f aca="false">IF($F660="",0,ROUND($F660*$G660,0))</f>
        <v>0</v>
      </c>
      <c r="I660" s="18" t="n">
        <f aca="false">IF($H660="",0,ROUND($H660*AdatFaizOran/AdatYilGunSayisi,2))</f>
        <v>0</v>
      </c>
      <c r="J660" s="22"/>
    </row>
    <row r="661" customFormat="false" ht="15" hidden="false" customHeight="false" outlineLevel="0" collapsed="false">
      <c r="A661" s="21"/>
      <c r="B661" s="22"/>
      <c r="C661" s="22"/>
      <c r="D661" s="23"/>
      <c r="E661" s="20" t="str">
        <f aca="false">IF($A661="","",IF($C661="Borç",-$D661,$D661))</f>
        <v/>
      </c>
      <c r="F661" s="18" t="str">
        <f aca="false">IF($A661="","",IFERROR(IF(INDEX(tblOrtak[Ortak Adı],ROW($A661)-ROW(tblOrtak[[#Headers],[Tarih]])-1)=$B661,INDEX(tblOrtak[Bakiye (₺)],ROW($A661)-ROW(tblOrtak[[#Headers],[Tarih]])-1)+$E661,$E661),$E661))</f>
        <v/>
      </c>
      <c r="G661" s="19" t="str">
        <f aca="false">IF($A661="","",IFERROR(IF(INDEX(tblOrtak[Tarih],ROW($A661)-ROW(tblOrtak[[#Headers],[Tarih]])+1)=0,RaporTarihi,INDEX(tblOrtak[Tarih],ROW($A661)-ROW(tblOrtak[[#Headers],[Tarih]])+1))-$A661,RaporTarihi-$A661))</f>
        <v/>
      </c>
      <c r="H661" s="18" t="n">
        <f aca="false">IF($F661="",0,ROUND($F661*$G661,0))</f>
        <v>0</v>
      </c>
      <c r="I661" s="18" t="n">
        <f aca="false">IF($H661="",0,ROUND($H661*AdatFaizOran/AdatYilGunSayisi,2))</f>
        <v>0</v>
      </c>
      <c r="J661" s="22"/>
    </row>
    <row r="662" customFormat="false" ht="15" hidden="false" customHeight="false" outlineLevel="0" collapsed="false">
      <c r="A662" s="21"/>
      <c r="B662" s="22"/>
      <c r="C662" s="22"/>
      <c r="D662" s="23"/>
      <c r="E662" s="20" t="str">
        <f aca="false">IF($A662="","",IF($C662="Borç",-$D662,$D662))</f>
        <v/>
      </c>
      <c r="F662" s="18" t="str">
        <f aca="false">IF($A662="","",IFERROR(IF(INDEX(tblOrtak[Ortak Adı],ROW($A662)-ROW(tblOrtak[[#Headers],[Tarih]])-1)=$B662,INDEX(tblOrtak[Bakiye (₺)],ROW($A662)-ROW(tblOrtak[[#Headers],[Tarih]])-1)+$E662,$E662),$E662))</f>
        <v/>
      </c>
      <c r="G662" s="19" t="str">
        <f aca="false">IF($A662="","",IFERROR(IF(INDEX(tblOrtak[Tarih],ROW($A662)-ROW(tblOrtak[[#Headers],[Tarih]])+1)=0,RaporTarihi,INDEX(tblOrtak[Tarih],ROW($A662)-ROW(tblOrtak[[#Headers],[Tarih]])+1))-$A662,RaporTarihi-$A662))</f>
        <v/>
      </c>
      <c r="H662" s="18" t="n">
        <f aca="false">IF($F662="",0,ROUND($F662*$G662,0))</f>
        <v>0</v>
      </c>
      <c r="I662" s="18" t="n">
        <f aca="false">IF($H662="",0,ROUND($H662*AdatFaizOran/AdatYilGunSayisi,2))</f>
        <v>0</v>
      </c>
      <c r="J662" s="22"/>
    </row>
    <row r="663" customFormat="false" ht="15" hidden="false" customHeight="false" outlineLevel="0" collapsed="false">
      <c r="A663" s="21"/>
      <c r="B663" s="22"/>
      <c r="C663" s="22"/>
      <c r="D663" s="23"/>
      <c r="E663" s="20" t="str">
        <f aca="false">IF($A663="","",IF($C663="Borç",-$D663,$D663))</f>
        <v/>
      </c>
      <c r="F663" s="18" t="str">
        <f aca="false">IF($A663="","",IFERROR(IF(INDEX(tblOrtak[Ortak Adı],ROW($A663)-ROW(tblOrtak[[#Headers],[Tarih]])-1)=$B663,INDEX(tblOrtak[Bakiye (₺)],ROW($A663)-ROW(tblOrtak[[#Headers],[Tarih]])-1)+$E663,$E663),$E663))</f>
        <v/>
      </c>
      <c r="G663" s="19" t="str">
        <f aca="false">IF($A663="","",IFERROR(IF(INDEX(tblOrtak[Tarih],ROW($A663)-ROW(tblOrtak[[#Headers],[Tarih]])+1)=0,RaporTarihi,INDEX(tblOrtak[Tarih],ROW($A663)-ROW(tblOrtak[[#Headers],[Tarih]])+1))-$A663,RaporTarihi-$A663))</f>
        <v/>
      </c>
      <c r="H663" s="18" t="n">
        <f aca="false">IF($F663="",0,ROUND($F663*$G663,0))</f>
        <v>0</v>
      </c>
      <c r="I663" s="18" t="n">
        <f aca="false">IF($H663="",0,ROUND($H663*AdatFaizOran/AdatYilGunSayisi,2))</f>
        <v>0</v>
      </c>
      <c r="J663" s="22"/>
    </row>
    <row r="664" customFormat="false" ht="15" hidden="false" customHeight="false" outlineLevel="0" collapsed="false">
      <c r="A664" s="21"/>
      <c r="B664" s="22"/>
      <c r="C664" s="22"/>
      <c r="D664" s="23"/>
      <c r="E664" s="20" t="str">
        <f aca="false">IF($A664="","",IF($C664="Borç",-$D664,$D664))</f>
        <v/>
      </c>
      <c r="F664" s="18" t="str">
        <f aca="false">IF($A664="","",IFERROR(IF(INDEX(tblOrtak[Ortak Adı],ROW($A664)-ROW(tblOrtak[[#Headers],[Tarih]])-1)=$B664,INDEX(tblOrtak[Bakiye (₺)],ROW($A664)-ROW(tblOrtak[[#Headers],[Tarih]])-1)+$E664,$E664),$E664))</f>
        <v/>
      </c>
      <c r="G664" s="19" t="str">
        <f aca="false">IF($A664="","",IFERROR(IF(INDEX(tblOrtak[Tarih],ROW($A664)-ROW(tblOrtak[[#Headers],[Tarih]])+1)=0,RaporTarihi,INDEX(tblOrtak[Tarih],ROW($A664)-ROW(tblOrtak[[#Headers],[Tarih]])+1))-$A664,RaporTarihi-$A664))</f>
        <v/>
      </c>
      <c r="H664" s="18" t="n">
        <f aca="false">IF($F664="",0,ROUND($F664*$G664,0))</f>
        <v>0</v>
      </c>
      <c r="I664" s="18" t="n">
        <f aca="false">IF($H664="",0,ROUND($H664*AdatFaizOran/AdatYilGunSayisi,2))</f>
        <v>0</v>
      </c>
      <c r="J664" s="22"/>
    </row>
    <row r="665" customFormat="false" ht="15" hidden="false" customHeight="false" outlineLevel="0" collapsed="false">
      <c r="A665" s="21"/>
      <c r="B665" s="22"/>
      <c r="C665" s="22"/>
      <c r="D665" s="23"/>
      <c r="E665" s="20" t="str">
        <f aca="false">IF($A665="","",IF($C665="Borç",-$D665,$D665))</f>
        <v/>
      </c>
      <c r="F665" s="18" t="str">
        <f aca="false">IF($A665="","",IFERROR(IF(INDEX(tblOrtak[Ortak Adı],ROW($A665)-ROW(tblOrtak[[#Headers],[Tarih]])-1)=$B665,INDEX(tblOrtak[Bakiye (₺)],ROW($A665)-ROW(tblOrtak[[#Headers],[Tarih]])-1)+$E665,$E665),$E665))</f>
        <v/>
      </c>
      <c r="G665" s="19" t="str">
        <f aca="false">IF($A665="","",IFERROR(IF(INDEX(tblOrtak[Tarih],ROW($A665)-ROW(tblOrtak[[#Headers],[Tarih]])+1)=0,RaporTarihi,INDEX(tblOrtak[Tarih],ROW($A665)-ROW(tblOrtak[[#Headers],[Tarih]])+1))-$A665,RaporTarihi-$A665))</f>
        <v/>
      </c>
      <c r="H665" s="18" t="n">
        <f aca="false">IF($F665="",0,ROUND($F665*$G665,0))</f>
        <v>0</v>
      </c>
      <c r="I665" s="18" t="n">
        <f aca="false">IF($H665="",0,ROUND($H665*AdatFaizOran/AdatYilGunSayisi,2))</f>
        <v>0</v>
      </c>
      <c r="J665" s="22"/>
    </row>
    <row r="666" customFormat="false" ht="15" hidden="false" customHeight="false" outlineLevel="0" collapsed="false">
      <c r="A666" s="21"/>
      <c r="B666" s="22"/>
      <c r="C666" s="22"/>
      <c r="D666" s="23"/>
      <c r="E666" s="20" t="str">
        <f aca="false">IF($A666="","",IF($C666="Borç",-$D666,$D666))</f>
        <v/>
      </c>
      <c r="F666" s="18" t="str">
        <f aca="false">IF($A666="","",IFERROR(IF(INDEX(tblOrtak[Ortak Adı],ROW($A666)-ROW(tblOrtak[[#Headers],[Tarih]])-1)=$B666,INDEX(tblOrtak[Bakiye (₺)],ROW($A666)-ROW(tblOrtak[[#Headers],[Tarih]])-1)+$E666,$E666),$E666))</f>
        <v/>
      </c>
      <c r="G666" s="19" t="str">
        <f aca="false">IF($A666="","",IFERROR(IF(INDEX(tblOrtak[Tarih],ROW($A666)-ROW(tblOrtak[[#Headers],[Tarih]])+1)=0,RaporTarihi,INDEX(tblOrtak[Tarih],ROW($A666)-ROW(tblOrtak[[#Headers],[Tarih]])+1))-$A666,RaporTarihi-$A666))</f>
        <v/>
      </c>
      <c r="H666" s="18" t="n">
        <f aca="false">IF($F666="",0,ROUND($F666*$G666,0))</f>
        <v>0</v>
      </c>
      <c r="I666" s="18" t="n">
        <f aca="false">IF($H666="",0,ROUND($H666*AdatFaizOran/AdatYilGunSayisi,2))</f>
        <v>0</v>
      </c>
      <c r="J666" s="22"/>
    </row>
    <row r="667" customFormat="false" ht="15" hidden="false" customHeight="false" outlineLevel="0" collapsed="false">
      <c r="A667" s="21"/>
      <c r="B667" s="22"/>
      <c r="C667" s="22"/>
      <c r="D667" s="23"/>
      <c r="E667" s="20" t="str">
        <f aca="false">IF($A667="","",IF($C667="Borç",-$D667,$D667))</f>
        <v/>
      </c>
      <c r="F667" s="18" t="str">
        <f aca="false">IF($A667="","",IFERROR(IF(INDEX(tblOrtak[Ortak Adı],ROW($A667)-ROW(tblOrtak[[#Headers],[Tarih]])-1)=$B667,INDEX(tblOrtak[Bakiye (₺)],ROW($A667)-ROW(tblOrtak[[#Headers],[Tarih]])-1)+$E667,$E667),$E667))</f>
        <v/>
      </c>
      <c r="G667" s="19" t="str">
        <f aca="false">IF($A667="","",IFERROR(IF(INDEX(tblOrtak[Tarih],ROW($A667)-ROW(tblOrtak[[#Headers],[Tarih]])+1)=0,RaporTarihi,INDEX(tblOrtak[Tarih],ROW($A667)-ROW(tblOrtak[[#Headers],[Tarih]])+1))-$A667,RaporTarihi-$A667))</f>
        <v/>
      </c>
      <c r="H667" s="18" t="n">
        <f aca="false">IF($F667="",0,ROUND($F667*$G667,0))</f>
        <v>0</v>
      </c>
      <c r="I667" s="18" t="n">
        <f aca="false">IF($H667="",0,ROUND($H667*AdatFaizOran/AdatYilGunSayisi,2))</f>
        <v>0</v>
      </c>
      <c r="J667" s="22"/>
    </row>
    <row r="668" customFormat="false" ht="15" hidden="false" customHeight="false" outlineLevel="0" collapsed="false">
      <c r="A668" s="21"/>
      <c r="B668" s="22"/>
      <c r="C668" s="22"/>
      <c r="D668" s="23"/>
      <c r="E668" s="20" t="str">
        <f aca="false">IF($A668="","",IF($C668="Borç",-$D668,$D668))</f>
        <v/>
      </c>
      <c r="F668" s="18" t="str">
        <f aca="false">IF($A668="","",IFERROR(IF(INDEX(tblOrtak[Ortak Adı],ROW($A668)-ROW(tblOrtak[[#Headers],[Tarih]])-1)=$B668,INDEX(tblOrtak[Bakiye (₺)],ROW($A668)-ROW(tblOrtak[[#Headers],[Tarih]])-1)+$E668,$E668),$E668))</f>
        <v/>
      </c>
      <c r="G668" s="19" t="str">
        <f aca="false">IF($A668="","",IFERROR(IF(INDEX(tblOrtak[Tarih],ROW($A668)-ROW(tblOrtak[[#Headers],[Tarih]])+1)=0,RaporTarihi,INDEX(tblOrtak[Tarih],ROW($A668)-ROW(tblOrtak[[#Headers],[Tarih]])+1))-$A668,RaporTarihi-$A668))</f>
        <v/>
      </c>
      <c r="H668" s="18" t="n">
        <f aca="false">IF($F668="",0,ROUND($F668*$G668,0))</f>
        <v>0</v>
      </c>
      <c r="I668" s="18" t="n">
        <f aca="false">IF($H668="",0,ROUND($H668*AdatFaizOran/AdatYilGunSayisi,2))</f>
        <v>0</v>
      </c>
      <c r="J668" s="22"/>
    </row>
    <row r="669" customFormat="false" ht="15" hidden="false" customHeight="false" outlineLevel="0" collapsed="false">
      <c r="A669" s="21"/>
      <c r="B669" s="22"/>
      <c r="C669" s="22"/>
      <c r="D669" s="23"/>
      <c r="E669" s="20" t="str">
        <f aca="false">IF($A669="","",IF($C669="Borç",-$D669,$D669))</f>
        <v/>
      </c>
      <c r="F669" s="18" t="str">
        <f aca="false">IF($A669="","",IFERROR(IF(INDEX(tblOrtak[Ortak Adı],ROW($A669)-ROW(tblOrtak[[#Headers],[Tarih]])-1)=$B669,INDEX(tblOrtak[Bakiye (₺)],ROW($A669)-ROW(tblOrtak[[#Headers],[Tarih]])-1)+$E669,$E669),$E669))</f>
        <v/>
      </c>
      <c r="G669" s="19" t="str">
        <f aca="false">IF($A669="","",IFERROR(IF(INDEX(tblOrtak[Tarih],ROW($A669)-ROW(tblOrtak[[#Headers],[Tarih]])+1)=0,RaporTarihi,INDEX(tblOrtak[Tarih],ROW($A669)-ROW(tblOrtak[[#Headers],[Tarih]])+1))-$A669,RaporTarihi-$A669))</f>
        <v/>
      </c>
      <c r="H669" s="18" t="n">
        <f aca="false">IF($F669="",0,ROUND($F669*$G669,0))</f>
        <v>0</v>
      </c>
      <c r="I669" s="18" t="n">
        <f aca="false">IF($H669="",0,ROUND($H669*AdatFaizOran/AdatYilGunSayisi,2))</f>
        <v>0</v>
      </c>
      <c r="J669" s="22"/>
    </row>
    <row r="670" customFormat="false" ht="15" hidden="false" customHeight="false" outlineLevel="0" collapsed="false">
      <c r="A670" s="21"/>
      <c r="B670" s="22"/>
      <c r="C670" s="22"/>
      <c r="D670" s="23"/>
      <c r="E670" s="20" t="str">
        <f aca="false">IF($A670="","",IF($C670="Borç",-$D670,$D670))</f>
        <v/>
      </c>
      <c r="F670" s="18" t="str">
        <f aca="false">IF($A670="","",IFERROR(IF(INDEX(tblOrtak[Ortak Adı],ROW($A670)-ROW(tblOrtak[[#Headers],[Tarih]])-1)=$B670,INDEX(tblOrtak[Bakiye (₺)],ROW($A670)-ROW(tblOrtak[[#Headers],[Tarih]])-1)+$E670,$E670),$E670))</f>
        <v/>
      </c>
      <c r="G670" s="19" t="str">
        <f aca="false">IF($A670="","",IFERROR(IF(INDEX(tblOrtak[Tarih],ROW($A670)-ROW(tblOrtak[[#Headers],[Tarih]])+1)=0,RaporTarihi,INDEX(tblOrtak[Tarih],ROW($A670)-ROW(tblOrtak[[#Headers],[Tarih]])+1))-$A670,RaporTarihi-$A670))</f>
        <v/>
      </c>
      <c r="H670" s="18" t="n">
        <f aca="false">IF($F670="",0,ROUND($F670*$G670,0))</f>
        <v>0</v>
      </c>
      <c r="I670" s="18" t="n">
        <f aca="false">IF($H670="",0,ROUND($H670*AdatFaizOran/AdatYilGunSayisi,2))</f>
        <v>0</v>
      </c>
      <c r="J670" s="22"/>
    </row>
    <row r="671" customFormat="false" ht="15" hidden="false" customHeight="false" outlineLevel="0" collapsed="false">
      <c r="A671" s="21"/>
      <c r="B671" s="22"/>
      <c r="C671" s="22"/>
      <c r="D671" s="23"/>
      <c r="E671" s="20" t="str">
        <f aca="false">IF($A671="","",IF($C671="Borç",-$D671,$D671))</f>
        <v/>
      </c>
      <c r="F671" s="18" t="str">
        <f aca="false">IF($A671="","",IFERROR(IF(INDEX(tblOrtak[Ortak Adı],ROW($A671)-ROW(tblOrtak[[#Headers],[Tarih]])-1)=$B671,INDEX(tblOrtak[Bakiye (₺)],ROW($A671)-ROW(tblOrtak[[#Headers],[Tarih]])-1)+$E671,$E671),$E671))</f>
        <v/>
      </c>
      <c r="G671" s="19" t="str">
        <f aca="false">IF($A671="","",IFERROR(IF(INDEX(tblOrtak[Tarih],ROW($A671)-ROW(tblOrtak[[#Headers],[Tarih]])+1)=0,RaporTarihi,INDEX(tblOrtak[Tarih],ROW($A671)-ROW(tblOrtak[[#Headers],[Tarih]])+1))-$A671,RaporTarihi-$A671))</f>
        <v/>
      </c>
      <c r="H671" s="18" t="n">
        <f aca="false">IF($F671="",0,ROUND($F671*$G671,0))</f>
        <v>0</v>
      </c>
      <c r="I671" s="18" t="n">
        <f aca="false">IF($H671="",0,ROUND($H671*AdatFaizOran/AdatYilGunSayisi,2))</f>
        <v>0</v>
      </c>
      <c r="J671" s="22"/>
    </row>
    <row r="672" customFormat="false" ht="15" hidden="false" customHeight="false" outlineLevel="0" collapsed="false">
      <c r="A672" s="21"/>
      <c r="B672" s="22"/>
      <c r="C672" s="22"/>
      <c r="D672" s="23"/>
      <c r="E672" s="20" t="str">
        <f aca="false">IF($A672="","",IF($C672="Borç",-$D672,$D672))</f>
        <v/>
      </c>
      <c r="F672" s="18" t="str">
        <f aca="false">IF($A672="","",IFERROR(IF(INDEX(tblOrtak[Ortak Adı],ROW($A672)-ROW(tblOrtak[[#Headers],[Tarih]])-1)=$B672,INDEX(tblOrtak[Bakiye (₺)],ROW($A672)-ROW(tblOrtak[[#Headers],[Tarih]])-1)+$E672,$E672),$E672))</f>
        <v/>
      </c>
      <c r="G672" s="19" t="str">
        <f aca="false">IF($A672="","",IFERROR(IF(INDEX(tblOrtak[Tarih],ROW($A672)-ROW(tblOrtak[[#Headers],[Tarih]])+1)=0,RaporTarihi,INDEX(tblOrtak[Tarih],ROW($A672)-ROW(tblOrtak[[#Headers],[Tarih]])+1))-$A672,RaporTarihi-$A672))</f>
        <v/>
      </c>
      <c r="H672" s="18" t="n">
        <f aca="false">IF($F672="",0,ROUND($F672*$G672,0))</f>
        <v>0</v>
      </c>
      <c r="I672" s="18" t="n">
        <f aca="false">IF($H672="",0,ROUND($H672*AdatFaizOran/AdatYilGunSayisi,2))</f>
        <v>0</v>
      </c>
      <c r="J672" s="22"/>
    </row>
    <row r="673" customFormat="false" ht="15" hidden="false" customHeight="false" outlineLevel="0" collapsed="false">
      <c r="A673" s="21"/>
      <c r="B673" s="22"/>
      <c r="C673" s="22"/>
      <c r="D673" s="23"/>
      <c r="E673" s="20" t="str">
        <f aca="false">IF($A673="","",IF($C673="Borç",-$D673,$D673))</f>
        <v/>
      </c>
      <c r="F673" s="18" t="str">
        <f aca="false">IF($A673="","",IFERROR(IF(INDEX(tblOrtak[Ortak Adı],ROW($A673)-ROW(tblOrtak[[#Headers],[Tarih]])-1)=$B673,INDEX(tblOrtak[Bakiye (₺)],ROW($A673)-ROW(tblOrtak[[#Headers],[Tarih]])-1)+$E673,$E673),$E673))</f>
        <v/>
      </c>
      <c r="G673" s="19" t="str">
        <f aca="false">IF($A673="","",IFERROR(IF(INDEX(tblOrtak[Tarih],ROW($A673)-ROW(tblOrtak[[#Headers],[Tarih]])+1)=0,RaporTarihi,INDEX(tblOrtak[Tarih],ROW($A673)-ROW(tblOrtak[[#Headers],[Tarih]])+1))-$A673,RaporTarihi-$A673))</f>
        <v/>
      </c>
      <c r="H673" s="18" t="n">
        <f aca="false">IF($F673="",0,ROUND($F673*$G673,0))</f>
        <v>0</v>
      </c>
      <c r="I673" s="18" t="n">
        <f aca="false">IF($H673="",0,ROUND($H673*AdatFaizOran/AdatYilGunSayisi,2))</f>
        <v>0</v>
      </c>
      <c r="J673" s="22"/>
    </row>
    <row r="674" customFormat="false" ht="15" hidden="false" customHeight="false" outlineLevel="0" collapsed="false">
      <c r="A674" s="21"/>
      <c r="B674" s="22"/>
      <c r="C674" s="22"/>
      <c r="D674" s="23"/>
      <c r="E674" s="20" t="str">
        <f aca="false">IF($A674="","",IF($C674="Borç",-$D674,$D674))</f>
        <v/>
      </c>
      <c r="F674" s="18" t="str">
        <f aca="false">IF($A674="","",IFERROR(IF(INDEX(tblOrtak[Ortak Adı],ROW($A674)-ROW(tblOrtak[[#Headers],[Tarih]])-1)=$B674,INDEX(tblOrtak[Bakiye (₺)],ROW($A674)-ROW(tblOrtak[[#Headers],[Tarih]])-1)+$E674,$E674),$E674))</f>
        <v/>
      </c>
      <c r="G674" s="19" t="str">
        <f aca="false">IF($A674="","",IFERROR(IF(INDEX(tblOrtak[Tarih],ROW($A674)-ROW(tblOrtak[[#Headers],[Tarih]])+1)=0,RaporTarihi,INDEX(tblOrtak[Tarih],ROW($A674)-ROW(tblOrtak[[#Headers],[Tarih]])+1))-$A674,RaporTarihi-$A674))</f>
        <v/>
      </c>
      <c r="H674" s="18" t="n">
        <f aca="false">IF($F674="",0,ROUND($F674*$G674,0))</f>
        <v>0</v>
      </c>
      <c r="I674" s="18" t="n">
        <f aca="false">IF($H674="",0,ROUND($H674*AdatFaizOran/AdatYilGunSayisi,2))</f>
        <v>0</v>
      </c>
      <c r="J674" s="22"/>
    </row>
    <row r="675" customFormat="false" ht="15" hidden="false" customHeight="false" outlineLevel="0" collapsed="false">
      <c r="A675" s="21"/>
      <c r="B675" s="22"/>
      <c r="C675" s="22"/>
      <c r="D675" s="23"/>
      <c r="E675" s="20" t="str">
        <f aca="false">IF($A675="","",IF($C675="Borç",-$D675,$D675))</f>
        <v/>
      </c>
      <c r="F675" s="18" t="str">
        <f aca="false">IF($A675="","",IFERROR(IF(INDEX(tblOrtak[Ortak Adı],ROW($A675)-ROW(tblOrtak[[#Headers],[Tarih]])-1)=$B675,INDEX(tblOrtak[Bakiye (₺)],ROW($A675)-ROW(tblOrtak[[#Headers],[Tarih]])-1)+$E675,$E675),$E675))</f>
        <v/>
      </c>
      <c r="G675" s="19" t="str">
        <f aca="false">IF($A675="","",IFERROR(IF(INDEX(tblOrtak[Tarih],ROW($A675)-ROW(tblOrtak[[#Headers],[Tarih]])+1)=0,RaporTarihi,INDEX(tblOrtak[Tarih],ROW($A675)-ROW(tblOrtak[[#Headers],[Tarih]])+1))-$A675,RaporTarihi-$A675))</f>
        <v/>
      </c>
      <c r="H675" s="18" t="n">
        <f aca="false">IF($F675="",0,ROUND($F675*$G675,0))</f>
        <v>0</v>
      </c>
      <c r="I675" s="18" t="n">
        <f aca="false">IF($H675="",0,ROUND($H675*AdatFaizOran/AdatYilGunSayisi,2))</f>
        <v>0</v>
      </c>
      <c r="J675" s="22"/>
    </row>
    <row r="676" customFormat="false" ht="15" hidden="false" customHeight="false" outlineLevel="0" collapsed="false">
      <c r="A676" s="21"/>
      <c r="B676" s="22"/>
      <c r="C676" s="22"/>
      <c r="D676" s="23"/>
      <c r="E676" s="20" t="str">
        <f aca="false">IF($A676="","",IF($C676="Borç",-$D676,$D676))</f>
        <v/>
      </c>
      <c r="F676" s="18" t="str">
        <f aca="false">IF($A676="","",IFERROR(IF(INDEX(tblOrtak[Ortak Adı],ROW($A676)-ROW(tblOrtak[[#Headers],[Tarih]])-1)=$B676,INDEX(tblOrtak[Bakiye (₺)],ROW($A676)-ROW(tblOrtak[[#Headers],[Tarih]])-1)+$E676,$E676),$E676))</f>
        <v/>
      </c>
      <c r="G676" s="19" t="str">
        <f aca="false">IF($A676="","",IFERROR(IF(INDEX(tblOrtak[Tarih],ROW($A676)-ROW(tblOrtak[[#Headers],[Tarih]])+1)=0,RaporTarihi,INDEX(tblOrtak[Tarih],ROW($A676)-ROW(tblOrtak[[#Headers],[Tarih]])+1))-$A676,RaporTarihi-$A676))</f>
        <v/>
      </c>
      <c r="H676" s="18" t="n">
        <f aca="false">IF($F676="",0,ROUND($F676*$G676,0))</f>
        <v>0</v>
      </c>
      <c r="I676" s="18" t="n">
        <f aca="false">IF($H676="",0,ROUND($H676*AdatFaizOran/AdatYilGunSayisi,2))</f>
        <v>0</v>
      </c>
      <c r="J676" s="22"/>
    </row>
    <row r="677" customFormat="false" ht="15" hidden="false" customHeight="false" outlineLevel="0" collapsed="false">
      <c r="A677" s="21"/>
      <c r="B677" s="22"/>
      <c r="C677" s="22"/>
      <c r="D677" s="23"/>
      <c r="E677" s="20" t="str">
        <f aca="false">IF($A677="","",IF($C677="Borç",-$D677,$D677))</f>
        <v/>
      </c>
      <c r="F677" s="18" t="str">
        <f aca="false">IF($A677="","",IFERROR(IF(INDEX(tblOrtak[Ortak Adı],ROW($A677)-ROW(tblOrtak[[#Headers],[Tarih]])-1)=$B677,INDEX(tblOrtak[Bakiye (₺)],ROW($A677)-ROW(tblOrtak[[#Headers],[Tarih]])-1)+$E677,$E677),$E677))</f>
        <v/>
      </c>
      <c r="G677" s="19" t="str">
        <f aca="false">IF($A677="","",IFERROR(IF(INDEX(tblOrtak[Tarih],ROW($A677)-ROW(tblOrtak[[#Headers],[Tarih]])+1)=0,RaporTarihi,INDEX(tblOrtak[Tarih],ROW($A677)-ROW(tblOrtak[[#Headers],[Tarih]])+1))-$A677,RaporTarihi-$A677))</f>
        <v/>
      </c>
      <c r="H677" s="18" t="n">
        <f aca="false">IF($F677="",0,ROUND($F677*$G677,0))</f>
        <v>0</v>
      </c>
      <c r="I677" s="18" t="n">
        <f aca="false">IF($H677="",0,ROUND($H677*AdatFaizOran/AdatYilGunSayisi,2))</f>
        <v>0</v>
      </c>
      <c r="J677" s="22"/>
    </row>
    <row r="678" customFormat="false" ht="15" hidden="false" customHeight="false" outlineLevel="0" collapsed="false">
      <c r="A678" s="21"/>
      <c r="B678" s="22"/>
      <c r="C678" s="22"/>
      <c r="D678" s="23"/>
      <c r="E678" s="20" t="str">
        <f aca="false">IF($A678="","",IF($C678="Borç",-$D678,$D678))</f>
        <v/>
      </c>
      <c r="F678" s="18" t="str">
        <f aca="false">IF($A678="","",IFERROR(IF(INDEX(tblOrtak[Ortak Adı],ROW($A678)-ROW(tblOrtak[[#Headers],[Tarih]])-1)=$B678,INDEX(tblOrtak[Bakiye (₺)],ROW($A678)-ROW(tblOrtak[[#Headers],[Tarih]])-1)+$E678,$E678),$E678))</f>
        <v/>
      </c>
      <c r="G678" s="19" t="str">
        <f aca="false">IF($A678="","",IFERROR(IF(INDEX(tblOrtak[Tarih],ROW($A678)-ROW(tblOrtak[[#Headers],[Tarih]])+1)=0,RaporTarihi,INDEX(tblOrtak[Tarih],ROW($A678)-ROW(tblOrtak[[#Headers],[Tarih]])+1))-$A678,RaporTarihi-$A678))</f>
        <v/>
      </c>
      <c r="H678" s="18" t="n">
        <f aca="false">IF($F678="",0,ROUND($F678*$G678,0))</f>
        <v>0</v>
      </c>
      <c r="I678" s="18" t="n">
        <f aca="false">IF($H678="",0,ROUND($H678*AdatFaizOran/AdatYilGunSayisi,2))</f>
        <v>0</v>
      </c>
      <c r="J678" s="22"/>
    </row>
    <row r="679" customFormat="false" ht="15" hidden="false" customHeight="false" outlineLevel="0" collapsed="false">
      <c r="A679" s="21"/>
      <c r="B679" s="22"/>
      <c r="C679" s="22"/>
      <c r="D679" s="23"/>
      <c r="E679" s="20" t="str">
        <f aca="false">IF($A679="","",IF($C679="Borç",-$D679,$D679))</f>
        <v/>
      </c>
      <c r="F679" s="18" t="str">
        <f aca="false">IF($A679="","",IFERROR(IF(INDEX(tblOrtak[Ortak Adı],ROW($A679)-ROW(tblOrtak[[#Headers],[Tarih]])-1)=$B679,INDEX(tblOrtak[Bakiye (₺)],ROW($A679)-ROW(tblOrtak[[#Headers],[Tarih]])-1)+$E679,$E679),$E679))</f>
        <v/>
      </c>
      <c r="G679" s="19" t="str">
        <f aca="false">IF($A679="","",IFERROR(IF(INDEX(tblOrtak[Tarih],ROW($A679)-ROW(tblOrtak[[#Headers],[Tarih]])+1)=0,RaporTarihi,INDEX(tblOrtak[Tarih],ROW($A679)-ROW(tblOrtak[[#Headers],[Tarih]])+1))-$A679,RaporTarihi-$A679))</f>
        <v/>
      </c>
      <c r="H679" s="18" t="n">
        <f aca="false">IF($F679="",0,ROUND($F679*$G679,0))</f>
        <v>0</v>
      </c>
      <c r="I679" s="18" t="n">
        <f aca="false">IF($H679="",0,ROUND($H679*AdatFaizOran/AdatYilGunSayisi,2))</f>
        <v>0</v>
      </c>
      <c r="J679" s="22"/>
    </row>
    <row r="680" customFormat="false" ht="15" hidden="false" customHeight="false" outlineLevel="0" collapsed="false">
      <c r="A680" s="21"/>
      <c r="B680" s="22"/>
      <c r="C680" s="22"/>
      <c r="D680" s="23"/>
      <c r="E680" s="20" t="str">
        <f aca="false">IF($A680="","",IF($C680="Borç",-$D680,$D680))</f>
        <v/>
      </c>
      <c r="F680" s="18" t="str">
        <f aca="false">IF($A680="","",IFERROR(IF(INDEX(tblOrtak[Ortak Adı],ROW($A680)-ROW(tblOrtak[[#Headers],[Tarih]])-1)=$B680,INDEX(tblOrtak[Bakiye (₺)],ROW($A680)-ROW(tblOrtak[[#Headers],[Tarih]])-1)+$E680,$E680),$E680))</f>
        <v/>
      </c>
      <c r="G680" s="19" t="str">
        <f aca="false">IF($A680="","",IFERROR(IF(INDEX(tblOrtak[Tarih],ROW($A680)-ROW(tblOrtak[[#Headers],[Tarih]])+1)=0,RaporTarihi,INDEX(tblOrtak[Tarih],ROW($A680)-ROW(tblOrtak[[#Headers],[Tarih]])+1))-$A680,RaporTarihi-$A680))</f>
        <v/>
      </c>
      <c r="H680" s="18" t="n">
        <f aca="false">IF($F680="",0,ROUND($F680*$G680,0))</f>
        <v>0</v>
      </c>
      <c r="I680" s="18" t="n">
        <f aca="false">IF($H680="",0,ROUND($H680*AdatFaizOran/AdatYilGunSayisi,2))</f>
        <v>0</v>
      </c>
      <c r="J680" s="22"/>
    </row>
    <row r="681" customFormat="false" ht="15" hidden="false" customHeight="false" outlineLevel="0" collapsed="false">
      <c r="A681" s="21"/>
      <c r="B681" s="22"/>
      <c r="C681" s="22"/>
      <c r="D681" s="23"/>
      <c r="E681" s="20" t="str">
        <f aca="false">IF($A681="","",IF($C681="Borç",-$D681,$D681))</f>
        <v/>
      </c>
      <c r="F681" s="18" t="str">
        <f aca="false">IF($A681="","",IFERROR(IF(INDEX(tblOrtak[Ortak Adı],ROW($A681)-ROW(tblOrtak[[#Headers],[Tarih]])-1)=$B681,INDEX(tblOrtak[Bakiye (₺)],ROW($A681)-ROW(tblOrtak[[#Headers],[Tarih]])-1)+$E681,$E681),$E681))</f>
        <v/>
      </c>
      <c r="G681" s="19" t="str">
        <f aca="false">IF($A681="","",IFERROR(IF(INDEX(tblOrtak[Tarih],ROW($A681)-ROW(tblOrtak[[#Headers],[Tarih]])+1)=0,RaporTarihi,INDEX(tblOrtak[Tarih],ROW($A681)-ROW(tblOrtak[[#Headers],[Tarih]])+1))-$A681,RaporTarihi-$A681))</f>
        <v/>
      </c>
      <c r="H681" s="18" t="n">
        <f aca="false">IF($F681="",0,ROUND($F681*$G681,0))</f>
        <v>0</v>
      </c>
      <c r="I681" s="18" t="n">
        <f aca="false">IF($H681="",0,ROUND($H681*AdatFaizOran/AdatYilGunSayisi,2))</f>
        <v>0</v>
      </c>
      <c r="J681" s="22"/>
    </row>
    <row r="682" customFormat="false" ht="15" hidden="false" customHeight="false" outlineLevel="0" collapsed="false">
      <c r="A682" s="21"/>
      <c r="B682" s="22"/>
      <c r="C682" s="22"/>
      <c r="D682" s="23"/>
      <c r="E682" s="20" t="str">
        <f aca="false">IF($A682="","",IF($C682="Borç",-$D682,$D682))</f>
        <v/>
      </c>
      <c r="F682" s="18" t="str">
        <f aca="false">IF($A682="","",IFERROR(IF(INDEX(tblOrtak[Ortak Adı],ROW($A682)-ROW(tblOrtak[[#Headers],[Tarih]])-1)=$B682,INDEX(tblOrtak[Bakiye (₺)],ROW($A682)-ROW(tblOrtak[[#Headers],[Tarih]])-1)+$E682,$E682),$E682))</f>
        <v/>
      </c>
      <c r="G682" s="19" t="str">
        <f aca="false">IF($A682="","",IFERROR(IF(INDEX(tblOrtak[Tarih],ROW($A682)-ROW(tblOrtak[[#Headers],[Tarih]])+1)=0,RaporTarihi,INDEX(tblOrtak[Tarih],ROW($A682)-ROW(tblOrtak[[#Headers],[Tarih]])+1))-$A682,RaporTarihi-$A682))</f>
        <v/>
      </c>
      <c r="H682" s="18" t="n">
        <f aca="false">IF($F682="",0,ROUND($F682*$G682,0))</f>
        <v>0</v>
      </c>
      <c r="I682" s="18" t="n">
        <f aca="false">IF($H682="",0,ROUND($H682*AdatFaizOran/AdatYilGunSayisi,2))</f>
        <v>0</v>
      </c>
      <c r="J682" s="22"/>
    </row>
    <row r="683" customFormat="false" ht="15" hidden="false" customHeight="false" outlineLevel="0" collapsed="false">
      <c r="A683" s="21"/>
      <c r="B683" s="22"/>
      <c r="C683" s="22"/>
      <c r="D683" s="23"/>
      <c r="E683" s="20" t="str">
        <f aca="false">IF($A683="","",IF($C683="Borç",-$D683,$D683))</f>
        <v/>
      </c>
      <c r="F683" s="18" t="str">
        <f aca="false">IF($A683="","",IFERROR(IF(INDEX(tblOrtak[Ortak Adı],ROW($A683)-ROW(tblOrtak[[#Headers],[Tarih]])-1)=$B683,INDEX(tblOrtak[Bakiye (₺)],ROW($A683)-ROW(tblOrtak[[#Headers],[Tarih]])-1)+$E683,$E683),$E683))</f>
        <v/>
      </c>
      <c r="G683" s="19" t="str">
        <f aca="false">IF($A683="","",IFERROR(IF(INDEX(tblOrtak[Tarih],ROW($A683)-ROW(tblOrtak[[#Headers],[Tarih]])+1)=0,RaporTarihi,INDEX(tblOrtak[Tarih],ROW($A683)-ROW(tblOrtak[[#Headers],[Tarih]])+1))-$A683,RaporTarihi-$A683))</f>
        <v/>
      </c>
      <c r="H683" s="18" t="n">
        <f aca="false">IF($F683="",0,ROUND($F683*$G683,0))</f>
        <v>0</v>
      </c>
      <c r="I683" s="18" t="n">
        <f aca="false">IF($H683="",0,ROUND($H683*AdatFaizOran/AdatYilGunSayisi,2))</f>
        <v>0</v>
      </c>
      <c r="J683" s="22"/>
    </row>
    <row r="684" customFormat="false" ht="15" hidden="false" customHeight="false" outlineLevel="0" collapsed="false">
      <c r="A684" s="21"/>
      <c r="B684" s="22"/>
      <c r="C684" s="22"/>
      <c r="D684" s="23"/>
      <c r="E684" s="20" t="str">
        <f aca="false">IF($A684="","",IF($C684="Borç",-$D684,$D684))</f>
        <v/>
      </c>
      <c r="F684" s="18" t="str">
        <f aca="false">IF($A684="","",IFERROR(IF(INDEX(tblOrtak[Ortak Adı],ROW($A684)-ROW(tblOrtak[[#Headers],[Tarih]])-1)=$B684,INDEX(tblOrtak[Bakiye (₺)],ROW($A684)-ROW(tblOrtak[[#Headers],[Tarih]])-1)+$E684,$E684),$E684))</f>
        <v/>
      </c>
      <c r="G684" s="19" t="str">
        <f aca="false">IF($A684="","",IFERROR(IF(INDEX(tblOrtak[Tarih],ROW($A684)-ROW(tblOrtak[[#Headers],[Tarih]])+1)=0,RaporTarihi,INDEX(tblOrtak[Tarih],ROW($A684)-ROW(tblOrtak[[#Headers],[Tarih]])+1))-$A684,RaporTarihi-$A684))</f>
        <v/>
      </c>
      <c r="H684" s="18" t="n">
        <f aca="false">IF($F684="",0,ROUND($F684*$G684,0))</f>
        <v>0</v>
      </c>
      <c r="I684" s="18" t="n">
        <f aca="false">IF($H684="",0,ROUND($H684*AdatFaizOran/AdatYilGunSayisi,2))</f>
        <v>0</v>
      </c>
      <c r="J684" s="22"/>
    </row>
    <row r="685" customFormat="false" ht="15" hidden="false" customHeight="false" outlineLevel="0" collapsed="false">
      <c r="A685" s="21"/>
      <c r="B685" s="22"/>
      <c r="C685" s="22"/>
      <c r="D685" s="23"/>
      <c r="E685" s="20" t="str">
        <f aca="false">IF($A685="","",IF($C685="Borç",-$D685,$D685))</f>
        <v/>
      </c>
      <c r="F685" s="18" t="str">
        <f aca="false">IF($A685="","",IFERROR(IF(INDEX(tblOrtak[Ortak Adı],ROW($A685)-ROW(tblOrtak[[#Headers],[Tarih]])-1)=$B685,INDEX(tblOrtak[Bakiye (₺)],ROW($A685)-ROW(tblOrtak[[#Headers],[Tarih]])-1)+$E685,$E685),$E685))</f>
        <v/>
      </c>
      <c r="G685" s="19" t="str">
        <f aca="false">IF($A685="","",IFERROR(IF(INDEX(tblOrtak[Tarih],ROW($A685)-ROW(tblOrtak[[#Headers],[Tarih]])+1)=0,RaporTarihi,INDEX(tblOrtak[Tarih],ROW($A685)-ROW(tblOrtak[[#Headers],[Tarih]])+1))-$A685,RaporTarihi-$A685))</f>
        <v/>
      </c>
      <c r="H685" s="18" t="n">
        <f aca="false">IF($F685="",0,ROUND($F685*$G685,0))</f>
        <v>0</v>
      </c>
      <c r="I685" s="18" t="n">
        <f aca="false">IF($H685="",0,ROUND($H685*AdatFaizOran/AdatYilGunSayisi,2))</f>
        <v>0</v>
      </c>
      <c r="J685" s="22"/>
    </row>
    <row r="686" customFormat="false" ht="15" hidden="false" customHeight="false" outlineLevel="0" collapsed="false">
      <c r="A686" s="21"/>
      <c r="B686" s="22"/>
      <c r="C686" s="22"/>
      <c r="D686" s="23"/>
      <c r="E686" s="20" t="str">
        <f aca="false">IF($A686="","",IF($C686="Borç",-$D686,$D686))</f>
        <v/>
      </c>
      <c r="F686" s="18" t="str">
        <f aca="false">IF($A686="","",IFERROR(IF(INDEX(tblOrtak[Ortak Adı],ROW($A686)-ROW(tblOrtak[[#Headers],[Tarih]])-1)=$B686,INDEX(tblOrtak[Bakiye (₺)],ROW($A686)-ROW(tblOrtak[[#Headers],[Tarih]])-1)+$E686,$E686),$E686))</f>
        <v/>
      </c>
      <c r="G686" s="19" t="str">
        <f aca="false">IF($A686="","",IFERROR(IF(INDEX(tblOrtak[Tarih],ROW($A686)-ROW(tblOrtak[[#Headers],[Tarih]])+1)=0,RaporTarihi,INDEX(tblOrtak[Tarih],ROW($A686)-ROW(tblOrtak[[#Headers],[Tarih]])+1))-$A686,RaporTarihi-$A686))</f>
        <v/>
      </c>
      <c r="H686" s="18" t="n">
        <f aca="false">IF($F686="",0,ROUND($F686*$G686,0))</f>
        <v>0</v>
      </c>
      <c r="I686" s="18" t="n">
        <f aca="false">IF($H686="",0,ROUND($H686*AdatFaizOran/AdatYilGunSayisi,2))</f>
        <v>0</v>
      </c>
      <c r="J686" s="22"/>
    </row>
    <row r="687" customFormat="false" ht="15" hidden="false" customHeight="false" outlineLevel="0" collapsed="false">
      <c r="A687" s="21"/>
      <c r="B687" s="22"/>
      <c r="C687" s="22"/>
      <c r="D687" s="23"/>
      <c r="E687" s="20" t="str">
        <f aca="false">IF($A687="","",IF($C687="Borç",-$D687,$D687))</f>
        <v/>
      </c>
      <c r="F687" s="18" t="str">
        <f aca="false">IF($A687="","",IFERROR(IF(INDEX(tblOrtak[Ortak Adı],ROW($A687)-ROW(tblOrtak[[#Headers],[Tarih]])-1)=$B687,INDEX(tblOrtak[Bakiye (₺)],ROW($A687)-ROW(tblOrtak[[#Headers],[Tarih]])-1)+$E687,$E687),$E687))</f>
        <v/>
      </c>
      <c r="G687" s="19" t="str">
        <f aca="false">IF($A687="","",IFERROR(IF(INDEX(tblOrtak[Tarih],ROW($A687)-ROW(tblOrtak[[#Headers],[Tarih]])+1)=0,RaporTarihi,INDEX(tblOrtak[Tarih],ROW($A687)-ROW(tblOrtak[[#Headers],[Tarih]])+1))-$A687,RaporTarihi-$A687))</f>
        <v/>
      </c>
      <c r="H687" s="18" t="n">
        <f aca="false">IF($F687="",0,ROUND($F687*$G687,0))</f>
        <v>0</v>
      </c>
      <c r="I687" s="18" t="n">
        <f aca="false">IF($H687="",0,ROUND($H687*AdatFaizOran/AdatYilGunSayisi,2))</f>
        <v>0</v>
      </c>
      <c r="J687" s="22"/>
    </row>
    <row r="688" customFormat="false" ht="15" hidden="false" customHeight="false" outlineLevel="0" collapsed="false">
      <c r="A688" s="21"/>
      <c r="B688" s="22"/>
      <c r="C688" s="22"/>
      <c r="D688" s="23"/>
      <c r="E688" s="20" t="str">
        <f aca="false">IF($A688="","",IF($C688="Borç",-$D688,$D688))</f>
        <v/>
      </c>
      <c r="F688" s="18" t="str">
        <f aca="false">IF($A688="","",IFERROR(IF(INDEX(tblOrtak[Ortak Adı],ROW($A688)-ROW(tblOrtak[[#Headers],[Tarih]])-1)=$B688,INDEX(tblOrtak[Bakiye (₺)],ROW($A688)-ROW(tblOrtak[[#Headers],[Tarih]])-1)+$E688,$E688),$E688))</f>
        <v/>
      </c>
      <c r="G688" s="19" t="str">
        <f aca="false">IF($A688="","",IFERROR(IF(INDEX(tblOrtak[Tarih],ROW($A688)-ROW(tblOrtak[[#Headers],[Tarih]])+1)=0,RaporTarihi,INDEX(tblOrtak[Tarih],ROW($A688)-ROW(tblOrtak[[#Headers],[Tarih]])+1))-$A688,RaporTarihi-$A688))</f>
        <v/>
      </c>
      <c r="H688" s="18" t="n">
        <f aca="false">IF($F688="",0,ROUND($F688*$G688,0))</f>
        <v>0</v>
      </c>
      <c r="I688" s="18" t="n">
        <f aca="false">IF($H688="",0,ROUND($H688*AdatFaizOran/AdatYilGunSayisi,2))</f>
        <v>0</v>
      </c>
      <c r="J688" s="22"/>
    </row>
    <row r="689" customFormat="false" ht="15" hidden="false" customHeight="false" outlineLevel="0" collapsed="false">
      <c r="A689" s="21"/>
      <c r="B689" s="22"/>
      <c r="C689" s="22"/>
      <c r="D689" s="23"/>
      <c r="E689" s="20" t="str">
        <f aca="false">IF($A689="","",IF($C689="Borç",-$D689,$D689))</f>
        <v/>
      </c>
      <c r="F689" s="18" t="str">
        <f aca="false">IF($A689="","",IFERROR(IF(INDEX(tblOrtak[Ortak Adı],ROW($A689)-ROW(tblOrtak[[#Headers],[Tarih]])-1)=$B689,INDEX(tblOrtak[Bakiye (₺)],ROW($A689)-ROW(tblOrtak[[#Headers],[Tarih]])-1)+$E689,$E689),$E689))</f>
        <v/>
      </c>
      <c r="G689" s="19" t="str">
        <f aca="false">IF($A689="","",IFERROR(IF(INDEX(tblOrtak[Tarih],ROW($A689)-ROW(tblOrtak[[#Headers],[Tarih]])+1)=0,RaporTarihi,INDEX(tblOrtak[Tarih],ROW($A689)-ROW(tblOrtak[[#Headers],[Tarih]])+1))-$A689,RaporTarihi-$A689))</f>
        <v/>
      </c>
      <c r="H689" s="18" t="n">
        <f aca="false">IF($F689="",0,ROUND($F689*$G689,0))</f>
        <v>0</v>
      </c>
      <c r="I689" s="18" t="n">
        <f aca="false">IF($H689="",0,ROUND($H689*AdatFaizOran/AdatYilGunSayisi,2))</f>
        <v>0</v>
      </c>
      <c r="J689" s="22"/>
    </row>
    <row r="690" customFormat="false" ht="15" hidden="false" customHeight="false" outlineLevel="0" collapsed="false">
      <c r="A690" s="21"/>
      <c r="B690" s="22"/>
      <c r="C690" s="22"/>
      <c r="D690" s="23"/>
      <c r="E690" s="20" t="str">
        <f aca="false">IF($A690="","",IF($C690="Borç",-$D690,$D690))</f>
        <v/>
      </c>
      <c r="F690" s="18" t="str">
        <f aca="false">IF($A690="","",IFERROR(IF(INDEX(tblOrtak[Ortak Adı],ROW($A690)-ROW(tblOrtak[[#Headers],[Tarih]])-1)=$B690,INDEX(tblOrtak[Bakiye (₺)],ROW($A690)-ROW(tblOrtak[[#Headers],[Tarih]])-1)+$E690,$E690),$E690))</f>
        <v/>
      </c>
      <c r="G690" s="19" t="str">
        <f aca="false">IF($A690="","",IFERROR(IF(INDEX(tblOrtak[Tarih],ROW($A690)-ROW(tblOrtak[[#Headers],[Tarih]])+1)=0,RaporTarihi,INDEX(tblOrtak[Tarih],ROW($A690)-ROW(tblOrtak[[#Headers],[Tarih]])+1))-$A690,RaporTarihi-$A690))</f>
        <v/>
      </c>
      <c r="H690" s="18" t="n">
        <f aca="false">IF($F690="",0,ROUND($F690*$G690,0))</f>
        <v>0</v>
      </c>
      <c r="I690" s="18" t="n">
        <f aca="false">IF($H690="",0,ROUND($H690*AdatFaizOran/AdatYilGunSayisi,2))</f>
        <v>0</v>
      </c>
      <c r="J690" s="22"/>
    </row>
    <row r="691" customFormat="false" ht="15" hidden="false" customHeight="false" outlineLevel="0" collapsed="false">
      <c r="A691" s="21"/>
      <c r="B691" s="22"/>
      <c r="C691" s="22"/>
      <c r="D691" s="23"/>
      <c r="E691" s="20" t="str">
        <f aca="false">IF($A691="","",IF($C691="Borç",-$D691,$D691))</f>
        <v/>
      </c>
      <c r="F691" s="18" t="str">
        <f aca="false">IF($A691="","",IFERROR(IF(INDEX(tblOrtak[Ortak Adı],ROW($A691)-ROW(tblOrtak[[#Headers],[Tarih]])-1)=$B691,INDEX(tblOrtak[Bakiye (₺)],ROW($A691)-ROW(tblOrtak[[#Headers],[Tarih]])-1)+$E691,$E691),$E691))</f>
        <v/>
      </c>
      <c r="G691" s="19" t="str">
        <f aca="false">IF($A691="","",IFERROR(IF(INDEX(tblOrtak[Tarih],ROW($A691)-ROW(tblOrtak[[#Headers],[Tarih]])+1)=0,RaporTarihi,INDEX(tblOrtak[Tarih],ROW($A691)-ROW(tblOrtak[[#Headers],[Tarih]])+1))-$A691,RaporTarihi-$A691))</f>
        <v/>
      </c>
      <c r="H691" s="18" t="n">
        <f aca="false">IF($F691="",0,ROUND($F691*$G691,0))</f>
        <v>0</v>
      </c>
      <c r="I691" s="18" t="n">
        <f aca="false">IF($H691="",0,ROUND($H691*AdatFaizOran/AdatYilGunSayisi,2))</f>
        <v>0</v>
      </c>
      <c r="J691" s="22"/>
    </row>
    <row r="692" customFormat="false" ht="15" hidden="false" customHeight="false" outlineLevel="0" collapsed="false">
      <c r="A692" s="21"/>
      <c r="B692" s="22"/>
      <c r="C692" s="22"/>
      <c r="D692" s="23"/>
      <c r="E692" s="20" t="str">
        <f aca="false">IF($A692="","",IF($C692="Borç",-$D692,$D692))</f>
        <v/>
      </c>
      <c r="F692" s="18" t="str">
        <f aca="false">IF($A692="","",IFERROR(IF(INDEX(tblOrtak[Ortak Adı],ROW($A692)-ROW(tblOrtak[[#Headers],[Tarih]])-1)=$B692,INDEX(tblOrtak[Bakiye (₺)],ROW($A692)-ROW(tblOrtak[[#Headers],[Tarih]])-1)+$E692,$E692),$E692))</f>
        <v/>
      </c>
      <c r="G692" s="19" t="str">
        <f aca="false">IF($A692="","",IFERROR(IF(INDEX(tblOrtak[Tarih],ROW($A692)-ROW(tblOrtak[[#Headers],[Tarih]])+1)=0,RaporTarihi,INDEX(tblOrtak[Tarih],ROW($A692)-ROW(tblOrtak[[#Headers],[Tarih]])+1))-$A692,RaporTarihi-$A692))</f>
        <v/>
      </c>
      <c r="H692" s="18" t="n">
        <f aca="false">IF($F692="",0,ROUND($F692*$G692,0))</f>
        <v>0</v>
      </c>
      <c r="I692" s="18" t="n">
        <f aca="false">IF($H692="",0,ROUND($H692*AdatFaizOran/AdatYilGunSayisi,2))</f>
        <v>0</v>
      </c>
      <c r="J692" s="22"/>
    </row>
    <row r="693" customFormat="false" ht="15" hidden="false" customHeight="false" outlineLevel="0" collapsed="false">
      <c r="A693" s="21"/>
      <c r="B693" s="22"/>
      <c r="C693" s="22"/>
      <c r="D693" s="23"/>
      <c r="E693" s="20" t="str">
        <f aca="false">IF($A693="","",IF($C693="Borç",-$D693,$D693))</f>
        <v/>
      </c>
      <c r="F693" s="18" t="str">
        <f aca="false">IF($A693="","",IFERROR(IF(INDEX(tblOrtak[Ortak Adı],ROW($A693)-ROW(tblOrtak[[#Headers],[Tarih]])-1)=$B693,INDEX(tblOrtak[Bakiye (₺)],ROW($A693)-ROW(tblOrtak[[#Headers],[Tarih]])-1)+$E693,$E693),$E693))</f>
        <v/>
      </c>
      <c r="G693" s="19" t="str">
        <f aca="false">IF($A693="","",IFERROR(IF(INDEX(tblOrtak[Tarih],ROW($A693)-ROW(tblOrtak[[#Headers],[Tarih]])+1)=0,RaporTarihi,INDEX(tblOrtak[Tarih],ROW($A693)-ROW(tblOrtak[[#Headers],[Tarih]])+1))-$A693,RaporTarihi-$A693))</f>
        <v/>
      </c>
      <c r="H693" s="18" t="n">
        <f aca="false">IF($F693="",0,ROUND($F693*$G693,0))</f>
        <v>0</v>
      </c>
      <c r="I693" s="18" t="n">
        <f aca="false">IF($H693="",0,ROUND($H693*AdatFaizOran/AdatYilGunSayisi,2))</f>
        <v>0</v>
      </c>
      <c r="J693" s="22"/>
    </row>
    <row r="694" customFormat="false" ht="15" hidden="false" customHeight="false" outlineLevel="0" collapsed="false">
      <c r="A694" s="21"/>
      <c r="B694" s="22"/>
      <c r="C694" s="22"/>
      <c r="D694" s="23"/>
      <c r="E694" s="20" t="str">
        <f aca="false">IF($A694="","",IF($C694="Borç",-$D694,$D694))</f>
        <v/>
      </c>
      <c r="F694" s="18" t="str">
        <f aca="false">IF($A694="","",IFERROR(IF(INDEX(tblOrtak[Ortak Adı],ROW($A694)-ROW(tblOrtak[[#Headers],[Tarih]])-1)=$B694,INDEX(tblOrtak[Bakiye (₺)],ROW($A694)-ROW(tblOrtak[[#Headers],[Tarih]])-1)+$E694,$E694),$E694))</f>
        <v/>
      </c>
      <c r="G694" s="19" t="str">
        <f aca="false">IF($A694="","",IFERROR(IF(INDEX(tblOrtak[Tarih],ROW($A694)-ROW(tblOrtak[[#Headers],[Tarih]])+1)=0,RaporTarihi,INDEX(tblOrtak[Tarih],ROW($A694)-ROW(tblOrtak[[#Headers],[Tarih]])+1))-$A694,RaporTarihi-$A694))</f>
        <v/>
      </c>
      <c r="H694" s="18" t="n">
        <f aca="false">IF($F694="",0,ROUND($F694*$G694,0))</f>
        <v>0</v>
      </c>
      <c r="I694" s="18" t="n">
        <f aca="false">IF($H694="",0,ROUND($H694*AdatFaizOran/AdatYilGunSayisi,2))</f>
        <v>0</v>
      </c>
      <c r="J694" s="22"/>
    </row>
    <row r="695" customFormat="false" ht="15" hidden="false" customHeight="false" outlineLevel="0" collapsed="false">
      <c r="A695" s="21"/>
      <c r="B695" s="22"/>
      <c r="C695" s="22"/>
      <c r="D695" s="23"/>
      <c r="E695" s="20" t="str">
        <f aca="false">IF($A695="","",IF($C695="Borç",-$D695,$D695))</f>
        <v/>
      </c>
      <c r="F695" s="18" t="str">
        <f aca="false">IF($A695="","",IFERROR(IF(INDEX(tblOrtak[Ortak Adı],ROW($A695)-ROW(tblOrtak[[#Headers],[Tarih]])-1)=$B695,INDEX(tblOrtak[Bakiye (₺)],ROW($A695)-ROW(tblOrtak[[#Headers],[Tarih]])-1)+$E695,$E695),$E695))</f>
        <v/>
      </c>
      <c r="G695" s="19" t="str">
        <f aca="false">IF($A695="","",IFERROR(IF(INDEX(tblOrtak[Tarih],ROW($A695)-ROW(tblOrtak[[#Headers],[Tarih]])+1)=0,RaporTarihi,INDEX(tblOrtak[Tarih],ROW($A695)-ROW(tblOrtak[[#Headers],[Tarih]])+1))-$A695,RaporTarihi-$A695))</f>
        <v/>
      </c>
      <c r="H695" s="18" t="n">
        <f aca="false">IF($F695="",0,ROUND($F695*$G695,0))</f>
        <v>0</v>
      </c>
      <c r="I695" s="18" t="n">
        <f aca="false">IF($H695="",0,ROUND($H695*AdatFaizOran/AdatYilGunSayisi,2))</f>
        <v>0</v>
      </c>
      <c r="J695" s="22"/>
    </row>
    <row r="696" customFormat="false" ht="15" hidden="false" customHeight="false" outlineLevel="0" collapsed="false">
      <c r="A696" s="21"/>
      <c r="B696" s="22"/>
      <c r="C696" s="22"/>
      <c r="D696" s="23"/>
      <c r="E696" s="20" t="str">
        <f aca="false">IF($A696="","",IF($C696="Borç",-$D696,$D696))</f>
        <v/>
      </c>
      <c r="F696" s="18" t="str">
        <f aca="false">IF($A696="","",IFERROR(IF(INDEX(tblOrtak[Ortak Adı],ROW($A696)-ROW(tblOrtak[[#Headers],[Tarih]])-1)=$B696,INDEX(tblOrtak[Bakiye (₺)],ROW($A696)-ROW(tblOrtak[[#Headers],[Tarih]])-1)+$E696,$E696),$E696))</f>
        <v/>
      </c>
      <c r="G696" s="19" t="str">
        <f aca="false">IF($A696="","",IFERROR(IF(INDEX(tblOrtak[Tarih],ROW($A696)-ROW(tblOrtak[[#Headers],[Tarih]])+1)=0,RaporTarihi,INDEX(tblOrtak[Tarih],ROW($A696)-ROW(tblOrtak[[#Headers],[Tarih]])+1))-$A696,RaporTarihi-$A696))</f>
        <v/>
      </c>
      <c r="H696" s="18" t="n">
        <f aca="false">IF($F696="",0,ROUND($F696*$G696,0))</f>
        <v>0</v>
      </c>
      <c r="I696" s="18" t="n">
        <f aca="false">IF($H696="",0,ROUND($H696*AdatFaizOran/AdatYilGunSayisi,2))</f>
        <v>0</v>
      </c>
      <c r="J696" s="22"/>
    </row>
    <row r="697" customFormat="false" ht="15" hidden="false" customHeight="false" outlineLevel="0" collapsed="false">
      <c r="A697" s="21"/>
      <c r="B697" s="22"/>
      <c r="C697" s="22"/>
      <c r="D697" s="23"/>
      <c r="E697" s="20" t="str">
        <f aca="false">IF($A697="","",IF($C697="Borç",-$D697,$D697))</f>
        <v/>
      </c>
      <c r="F697" s="18" t="str">
        <f aca="false">IF($A697="","",IFERROR(IF(INDEX(tblOrtak[Ortak Adı],ROW($A697)-ROW(tblOrtak[[#Headers],[Tarih]])-1)=$B697,INDEX(tblOrtak[Bakiye (₺)],ROW($A697)-ROW(tblOrtak[[#Headers],[Tarih]])-1)+$E697,$E697),$E697))</f>
        <v/>
      </c>
      <c r="G697" s="19" t="str">
        <f aca="false">IF($A697="","",IFERROR(IF(INDEX(tblOrtak[Tarih],ROW($A697)-ROW(tblOrtak[[#Headers],[Tarih]])+1)=0,RaporTarihi,INDEX(tblOrtak[Tarih],ROW($A697)-ROW(tblOrtak[[#Headers],[Tarih]])+1))-$A697,RaporTarihi-$A697))</f>
        <v/>
      </c>
      <c r="H697" s="18" t="n">
        <f aca="false">IF($F697="",0,ROUND($F697*$G697,0))</f>
        <v>0</v>
      </c>
      <c r="I697" s="18" t="n">
        <f aca="false">IF($H697="",0,ROUND($H697*AdatFaizOran/AdatYilGunSayisi,2))</f>
        <v>0</v>
      </c>
      <c r="J697" s="22"/>
    </row>
    <row r="698" customFormat="false" ht="15" hidden="false" customHeight="false" outlineLevel="0" collapsed="false">
      <c r="A698" s="21"/>
      <c r="B698" s="22"/>
      <c r="C698" s="22"/>
      <c r="D698" s="23"/>
      <c r="E698" s="20" t="str">
        <f aca="false">IF($A698="","",IF($C698="Borç",-$D698,$D698))</f>
        <v/>
      </c>
      <c r="F698" s="18" t="str">
        <f aca="false">IF($A698="","",IFERROR(IF(INDEX(tblOrtak[Ortak Adı],ROW($A698)-ROW(tblOrtak[[#Headers],[Tarih]])-1)=$B698,INDEX(tblOrtak[Bakiye (₺)],ROW($A698)-ROW(tblOrtak[[#Headers],[Tarih]])-1)+$E698,$E698),$E698))</f>
        <v/>
      </c>
      <c r="G698" s="19" t="str">
        <f aca="false">IF($A698="","",IFERROR(IF(INDEX(tblOrtak[Tarih],ROW($A698)-ROW(tblOrtak[[#Headers],[Tarih]])+1)=0,RaporTarihi,INDEX(tblOrtak[Tarih],ROW($A698)-ROW(tblOrtak[[#Headers],[Tarih]])+1))-$A698,RaporTarihi-$A698))</f>
        <v/>
      </c>
      <c r="H698" s="18" t="n">
        <f aca="false">IF($F698="",0,ROUND($F698*$G698,0))</f>
        <v>0</v>
      </c>
      <c r="I698" s="18" t="n">
        <f aca="false">IF($H698="",0,ROUND($H698*AdatFaizOran/AdatYilGunSayisi,2))</f>
        <v>0</v>
      </c>
      <c r="J698" s="22"/>
    </row>
    <row r="699" customFormat="false" ht="15" hidden="false" customHeight="false" outlineLevel="0" collapsed="false">
      <c r="A699" s="21"/>
      <c r="B699" s="22"/>
      <c r="C699" s="22"/>
      <c r="D699" s="23"/>
      <c r="E699" s="20" t="str">
        <f aca="false">IF($A699="","",IF($C699="Borç",-$D699,$D699))</f>
        <v/>
      </c>
      <c r="F699" s="18" t="str">
        <f aca="false">IF($A699="","",IFERROR(IF(INDEX(tblOrtak[Ortak Adı],ROW($A699)-ROW(tblOrtak[[#Headers],[Tarih]])-1)=$B699,INDEX(tblOrtak[Bakiye (₺)],ROW($A699)-ROW(tblOrtak[[#Headers],[Tarih]])-1)+$E699,$E699),$E699))</f>
        <v/>
      </c>
      <c r="G699" s="19" t="str">
        <f aca="false">IF($A699="","",IFERROR(IF(INDEX(tblOrtak[Tarih],ROW($A699)-ROW(tblOrtak[[#Headers],[Tarih]])+1)=0,RaporTarihi,INDEX(tblOrtak[Tarih],ROW($A699)-ROW(tblOrtak[[#Headers],[Tarih]])+1))-$A699,RaporTarihi-$A699))</f>
        <v/>
      </c>
      <c r="H699" s="18" t="n">
        <f aca="false">IF($F699="",0,ROUND($F699*$G699,0))</f>
        <v>0</v>
      </c>
      <c r="I699" s="18" t="n">
        <f aca="false">IF($H699="",0,ROUND($H699*AdatFaizOran/AdatYilGunSayisi,2))</f>
        <v>0</v>
      </c>
      <c r="J699" s="22"/>
    </row>
    <row r="700" customFormat="false" ht="15" hidden="false" customHeight="false" outlineLevel="0" collapsed="false">
      <c r="A700" s="21"/>
      <c r="B700" s="22"/>
      <c r="C700" s="22"/>
      <c r="D700" s="23"/>
      <c r="E700" s="20" t="str">
        <f aca="false">IF($A700="","",IF($C700="Borç",-$D700,$D700))</f>
        <v/>
      </c>
      <c r="F700" s="18" t="str">
        <f aca="false">IF($A700="","",IFERROR(IF(INDEX(tblOrtak[Ortak Adı],ROW($A700)-ROW(tblOrtak[[#Headers],[Tarih]])-1)=$B700,INDEX(tblOrtak[Bakiye (₺)],ROW($A700)-ROW(tblOrtak[[#Headers],[Tarih]])-1)+$E700,$E700),$E700))</f>
        <v/>
      </c>
      <c r="G700" s="19" t="str">
        <f aca="false">IF($A700="","",IFERROR(IF(INDEX(tblOrtak[Tarih],ROW($A700)-ROW(tblOrtak[[#Headers],[Tarih]])+1)=0,RaporTarihi,INDEX(tblOrtak[Tarih],ROW($A700)-ROW(tblOrtak[[#Headers],[Tarih]])+1))-$A700,RaporTarihi-$A700))</f>
        <v/>
      </c>
      <c r="H700" s="18" t="n">
        <f aca="false">IF($F700="",0,ROUND($F700*$G700,0))</f>
        <v>0</v>
      </c>
      <c r="I700" s="18" t="n">
        <f aca="false">IF($H700="",0,ROUND($H700*AdatFaizOran/AdatYilGunSayisi,2))</f>
        <v>0</v>
      </c>
      <c r="J700" s="22"/>
    </row>
    <row r="701" customFormat="false" ht="15" hidden="false" customHeight="false" outlineLevel="0" collapsed="false">
      <c r="A701" s="21"/>
      <c r="B701" s="22"/>
      <c r="C701" s="22"/>
      <c r="D701" s="23"/>
      <c r="E701" s="20" t="str">
        <f aca="false">IF($A701="","",IF($C701="Borç",-$D701,$D701))</f>
        <v/>
      </c>
      <c r="F701" s="18" t="str">
        <f aca="false">IF($A701="","",IFERROR(IF(INDEX(tblOrtak[Ortak Adı],ROW($A701)-ROW(tblOrtak[[#Headers],[Tarih]])-1)=$B701,INDEX(tblOrtak[Bakiye (₺)],ROW($A701)-ROW(tblOrtak[[#Headers],[Tarih]])-1)+$E701,$E701),$E701))</f>
        <v/>
      </c>
      <c r="G701" s="19" t="str">
        <f aca="false">IF($A701="","",IFERROR(IF(INDEX(tblOrtak[Tarih],ROW($A701)-ROW(tblOrtak[[#Headers],[Tarih]])+1)=0,RaporTarihi,INDEX(tblOrtak[Tarih],ROW($A701)-ROW(tblOrtak[[#Headers],[Tarih]])+1))-$A701,RaporTarihi-$A701))</f>
        <v/>
      </c>
      <c r="H701" s="18" t="n">
        <f aca="false">IF($F701="",0,ROUND($F701*$G701,0))</f>
        <v>0</v>
      </c>
      <c r="I701" s="18" t="n">
        <f aca="false">IF($H701="",0,ROUND($H701*AdatFaizOran/AdatYilGunSayisi,2))</f>
        <v>0</v>
      </c>
      <c r="J701" s="22"/>
    </row>
    <row r="702" customFormat="false" ht="15" hidden="false" customHeight="false" outlineLevel="0" collapsed="false">
      <c r="A702" s="21"/>
      <c r="B702" s="22"/>
      <c r="C702" s="22"/>
      <c r="D702" s="23"/>
      <c r="E702" s="20" t="str">
        <f aca="false">IF($A702="","",IF($C702="Borç",-$D702,$D702))</f>
        <v/>
      </c>
      <c r="F702" s="18" t="str">
        <f aca="false">IF($A702="","",IFERROR(IF(INDEX(tblOrtak[Ortak Adı],ROW($A702)-ROW(tblOrtak[[#Headers],[Tarih]])-1)=$B702,INDEX(tblOrtak[Bakiye (₺)],ROW($A702)-ROW(tblOrtak[[#Headers],[Tarih]])-1)+$E702,$E702),$E702))</f>
        <v/>
      </c>
      <c r="G702" s="19" t="str">
        <f aca="false">IF($A702="","",IFERROR(IF(INDEX(tblOrtak[Tarih],ROW($A702)-ROW(tblOrtak[[#Headers],[Tarih]])+1)=0,RaporTarihi,INDEX(tblOrtak[Tarih],ROW($A702)-ROW(tblOrtak[[#Headers],[Tarih]])+1))-$A702,RaporTarihi-$A702))</f>
        <v/>
      </c>
      <c r="H702" s="18" t="n">
        <f aca="false">IF($F702="",0,ROUND($F702*$G702,0))</f>
        <v>0</v>
      </c>
      <c r="I702" s="18" t="n">
        <f aca="false">IF($H702="",0,ROUND($H702*AdatFaizOran/AdatYilGunSayisi,2))</f>
        <v>0</v>
      </c>
      <c r="J702" s="22"/>
    </row>
    <row r="703" customFormat="false" ht="15" hidden="false" customHeight="false" outlineLevel="0" collapsed="false">
      <c r="A703" s="21"/>
      <c r="B703" s="22"/>
      <c r="C703" s="22"/>
      <c r="D703" s="23"/>
      <c r="E703" s="20" t="str">
        <f aca="false">IF($A703="","",IF($C703="Borç",-$D703,$D703))</f>
        <v/>
      </c>
      <c r="F703" s="18" t="str">
        <f aca="false">IF($A703="","",IFERROR(IF(INDEX(tblOrtak[Ortak Adı],ROW($A703)-ROW(tblOrtak[[#Headers],[Tarih]])-1)=$B703,INDEX(tblOrtak[Bakiye (₺)],ROW($A703)-ROW(tblOrtak[[#Headers],[Tarih]])-1)+$E703,$E703),$E703))</f>
        <v/>
      </c>
      <c r="G703" s="19" t="str">
        <f aca="false">IF($A703="","",IFERROR(IF(INDEX(tblOrtak[Tarih],ROW($A703)-ROW(tblOrtak[[#Headers],[Tarih]])+1)=0,RaporTarihi,INDEX(tblOrtak[Tarih],ROW($A703)-ROW(tblOrtak[[#Headers],[Tarih]])+1))-$A703,RaporTarihi-$A703))</f>
        <v/>
      </c>
      <c r="H703" s="18" t="n">
        <f aca="false">IF($F703="",0,ROUND($F703*$G703,0))</f>
        <v>0</v>
      </c>
      <c r="I703" s="18" t="n">
        <f aca="false">IF($H703="",0,ROUND($H703*AdatFaizOran/AdatYilGunSayisi,2))</f>
        <v>0</v>
      </c>
      <c r="J703" s="22"/>
    </row>
    <row r="704" customFormat="false" ht="15" hidden="false" customHeight="false" outlineLevel="0" collapsed="false">
      <c r="A704" s="21"/>
      <c r="B704" s="22"/>
      <c r="C704" s="22"/>
      <c r="D704" s="23"/>
      <c r="E704" s="20" t="str">
        <f aca="false">IF($A704="","",IF($C704="Borç",-$D704,$D704))</f>
        <v/>
      </c>
      <c r="F704" s="18" t="str">
        <f aca="false">IF($A704="","",IFERROR(IF(INDEX(tblOrtak[Ortak Adı],ROW($A704)-ROW(tblOrtak[[#Headers],[Tarih]])-1)=$B704,INDEX(tblOrtak[Bakiye (₺)],ROW($A704)-ROW(tblOrtak[[#Headers],[Tarih]])-1)+$E704,$E704),$E704))</f>
        <v/>
      </c>
      <c r="G704" s="19" t="str">
        <f aca="false">IF($A704="","",IFERROR(IF(INDEX(tblOrtak[Tarih],ROW($A704)-ROW(tblOrtak[[#Headers],[Tarih]])+1)=0,RaporTarihi,INDEX(tblOrtak[Tarih],ROW($A704)-ROW(tblOrtak[[#Headers],[Tarih]])+1))-$A704,RaporTarihi-$A704))</f>
        <v/>
      </c>
      <c r="H704" s="18" t="n">
        <f aca="false">IF($F704="",0,ROUND($F704*$G704,0))</f>
        <v>0</v>
      </c>
      <c r="I704" s="18" t="n">
        <f aca="false">IF($H704="",0,ROUND($H704*AdatFaizOran/AdatYilGunSayisi,2))</f>
        <v>0</v>
      </c>
      <c r="J704" s="22"/>
    </row>
    <row r="705" customFormat="false" ht="15" hidden="false" customHeight="false" outlineLevel="0" collapsed="false">
      <c r="A705" s="21"/>
      <c r="B705" s="22"/>
      <c r="C705" s="22"/>
      <c r="D705" s="23"/>
      <c r="E705" s="20" t="str">
        <f aca="false">IF($A705="","",IF($C705="Borç",-$D705,$D705))</f>
        <v/>
      </c>
      <c r="F705" s="18" t="str">
        <f aca="false">IF($A705="","",IFERROR(IF(INDEX(tblOrtak[Ortak Adı],ROW($A705)-ROW(tblOrtak[[#Headers],[Tarih]])-1)=$B705,INDEX(tblOrtak[Bakiye (₺)],ROW($A705)-ROW(tblOrtak[[#Headers],[Tarih]])-1)+$E705,$E705),$E705))</f>
        <v/>
      </c>
      <c r="G705" s="19" t="str">
        <f aca="false">IF($A705="","",IFERROR(IF(INDEX(tblOrtak[Tarih],ROW($A705)-ROW(tblOrtak[[#Headers],[Tarih]])+1)=0,RaporTarihi,INDEX(tblOrtak[Tarih],ROW($A705)-ROW(tblOrtak[[#Headers],[Tarih]])+1))-$A705,RaporTarihi-$A705))</f>
        <v/>
      </c>
      <c r="H705" s="18" t="n">
        <f aca="false">IF($F705="",0,ROUND($F705*$G705,0))</f>
        <v>0</v>
      </c>
      <c r="I705" s="18" t="n">
        <f aca="false">IF($H705="",0,ROUND($H705*AdatFaizOran/AdatYilGunSayisi,2))</f>
        <v>0</v>
      </c>
      <c r="J705" s="22"/>
    </row>
    <row r="706" customFormat="false" ht="15" hidden="false" customHeight="false" outlineLevel="0" collapsed="false">
      <c r="A706" s="21"/>
      <c r="B706" s="22"/>
      <c r="C706" s="22"/>
      <c r="D706" s="23"/>
      <c r="E706" s="20" t="str">
        <f aca="false">IF($A706="","",IF($C706="Borç",-$D706,$D706))</f>
        <v/>
      </c>
      <c r="F706" s="18" t="str">
        <f aca="false">IF($A706="","",IFERROR(IF(INDEX(tblOrtak[Ortak Adı],ROW($A706)-ROW(tblOrtak[[#Headers],[Tarih]])-1)=$B706,INDEX(tblOrtak[Bakiye (₺)],ROW($A706)-ROW(tblOrtak[[#Headers],[Tarih]])-1)+$E706,$E706),$E706))</f>
        <v/>
      </c>
      <c r="G706" s="19" t="str">
        <f aca="false">IF($A706="","",IFERROR(IF(INDEX(tblOrtak[Tarih],ROW($A706)-ROW(tblOrtak[[#Headers],[Tarih]])+1)=0,RaporTarihi,INDEX(tblOrtak[Tarih],ROW($A706)-ROW(tblOrtak[[#Headers],[Tarih]])+1))-$A706,RaporTarihi-$A706))</f>
        <v/>
      </c>
      <c r="H706" s="18" t="n">
        <f aca="false">IF($F706="",0,ROUND($F706*$G706,0))</f>
        <v>0</v>
      </c>
      <c r="I706" s="18" t="n">
        <f aca="false">IF($H706="",0,ROUND($H706*AdatFaizOran/AdatYilGunSayisi,2))</f>
        <v>0</v>
      </c>
      <c r="J706" s="22"/>
    </row>
    <row r="707" customFormat="false" ht="15" hidden="false" customHeight="false" outlineLevel="0" collapsed="false">
      <c r="A707" s="21"/>
      <c r="B707" s="22"/>
      <c r="C707" s="22"/>
      <c r="D707" s="23"/>
      <c r="E707" s="20" t="str">
        <f aca="false">IF($A707="","",IF($C707="Borç",-$D707,$D707))</f>
        <v/>
      </c>
      <c r="F707" s="18" t="str">
        <f aca="false">IF($A707="","",IFERROR(IF(INDEX(tblOrtak[Ortak Adı],ROW($A707)-ROW(tblOrtak[[#Headers],[Tarih]])-1)=$B707,INDEX(tblOrtak[Bakiye (₺)],ROW($A707)-ROW(tblOrtak[[#Headers],[Tarih]])-1)+$E707,$E707),$E707))</f>
        <v/>
      </c>
      <c r="G707" s="19" t="str">
        <f aca="false">IF($A707="","",IFERROR(IF(INDEX(tblOrtak[Tarih],ROW($A707)-ROW(tblOrtak[[#Headers],[Tarih]])+1)=0,RaporTarihi,INDEX(tblOrtak[Tarih],ROW($A707)-ROW(tblOrtak[[#Headers],[Tarih]])+1))-$A707,RaporTarihi-$A707))</f>
        <v/>
      </c>
      <c r="H707" s="18" t="n">
        <f aca="false">IF($F707="",0,ROUND($F707*$G707,0))</f>
        <v>0</v>
      </c>
      <c r="I707" s="18" t="n">
        <f aca="false">IF($H707="",0,ROUND($H707*AdatFaizOran/AdatYilGunSayisi,2))</f>
        <v>0</v>
      </c>
      <c r="J707" s="22"/>
    </row>
    <row r="708" customFormat="false" ht="15" hidden="false" customHeight="false" outlineLevel="0" collapsed="false">
      <c r="A708" s="21"/>
      <c r="B708" s="22"/>
      <c r="C708" s="22"/>
      <c r="D708" s="23"/>
      <c r="E708" s="20" t="str">
        <f aca="false">IF($A708="","",IF($C708="Borç",-$D708,$D708))</f>
        <v/>
      </c>
      <c r="F708" s="18" t="str">
        <f aca="false">IF($A708="","",IFERROR(IF(INDEX(tblOrtak[Ortak Adı],ROW($A708)-ROW(tblOrtak[[#Headers],[Tarih]])-1)=$B708,INDEX(tblOrtak[Bakiye (₺)],ROW($A708)-ROW(tblOrtak[[#Headers],[Tarih]])-1)+$E708,$E708),$E708))</f>
        <v/>
      </c>
      <c r="G708" s="19" t="str">
        <f aca="false">IF($A708="","",IFERROR(IF(INDEX(tblOrtak[Tarih],ROW($A708)-ROW(tblOrtak[[#Headers],[Tarih]])+1)=0,RaporTarihi,INDEX(tblOrtak[Tarih],ROW($A708)-ROW(tblOrtak[[#Headers],[Tarih]])+1))-$A708,RaporTarihi-$A708))</f>
        <v/>
      </c>
      <c r="H708" s="18" t="n">
        <f aca="false">IF($F708="",0,ROUND($F708*$G708,0))</f>
        <v>0</v>
      </c>
      <c r="I708" s="18" t="n">
        <f aca="false">IF($H708="",0,ROUND($H708*AdatFaizOran/AdatYilGunSayisi,2))</f>
        <v>0</v>
      </c>
      <c r="J708" s="22"/>
    </row>
    <row r="709" customFormat="false" ht="15" hidden="false" customHeight="false" outlineLevel="0" collapsed="false">
      <c r="A709" s="21"/>
      <c r="B709" s="22"/>
      <c r="C709" s="22"/>
      <c r="D709" s="23"/>
      <c r="E709" s="20" t="str">
        <f aca="false">IF($A709="","",IF($C709="Borç",-$D709,$D709))</f>
        <v/>
      </c>
      <c r="F709" s="18" t="str">
        <f aca="false">IF($A709="","",IFERROR(IF(INDEX(tblOrtak[Ortak Adı],ROW($A709)-ROW(tblOrtak[[#Headers],[Tarih]])-1)=$B709,INDEX(tblOrtak[Bakiye (₺)],ROW($A709)-ROW(tblOrtak[[#Headers],[Tarih]])-1)+$E709,$E709),$E709))</f>
        <v/>
      </c>
      <c r="G709" s="19" t="str">
        <f aca="false">IF($A709="","",IFERROR(IF(INDEX(tblOrtak[Tarih],ROW($A709)-ROW(tblOrtak[[#Headers],[Tarih]])+1)=0,RaporTarihi,INDEX(tblOrtak[Tarih],ROW($A709)-ROW(tblOrtak[[#Headers],[Tarih]])+1))-$A709,RaporTarihi-$A709))</f>
        <v/>
      </c>
      <c r="H709" s="18" t="n">
        <f aca="false">IF($F709="",0,ROUND($F709*$G709,0))</f>
        <v>0</v>
      </c>
      <c r="I709" s="18" t="n">
        <f aca="false">IF($H709="",0,ROUND($H709*AdatFaizOran/AdatYilGunSayisi,2))</f>
        <v>0</v>
      </c>
      <c r="J709" s="22"/>
    </row>
    <row r="710" customFormat="false" ht="15" hidden="false" customHeight="false" outlineLevel="0" collapsed="false">
      <c r="A710" s="21"/>
      <c r="B710" s="22"/>
      <c r="C710" s="22"/>
      <c r="D710" s="23"/>
      <c r="E710" s="20" t="str">
        <f aca="false">IF($A710="","",IF($C710="Borç",-$D710,$D710))</f>
        <v/>
      </c>
      <c r="F710" s="18" t="str">
        <f aca="false">IF($A710="","",IFERROR(IF(INDEX(tblOrtak[Ortak Adı],ROW($A710)-ROW(tblOrtak[[#Headers],[Tarih]])-1)=$B710,INDEX(tblOrtak[Bakiye (₺)],ROW($A710)-ROW(tblOrtak[[#Headers],[Tarih]])-1)+$E710,$E710),$E710))</f>
        <v/>
      </c>
      <c r="G710" s="19" t="str">
        <f aca="false">IF($A710="","",IFERROR(IF(INDEX(tblOrtak[Tarih],ROW($A710)-ROW(tblOrtak[[#Headers],[Tarih]])+1)=0,RaporTarihi,INDEX(tblOrtak[Tarih],ROW($A710)-ROW(tblOrtak[[#Headers],[Tarih]])+1))-$A710,RaporTarihi-$A710))</f>
        <v/>
      </c>
      <c r="H710" s="18" t="n">
        <f aca="false">IF($F710="",0,ROUND($F710*$G710,0))</f>
        <v>0</v>
      </c>
      <c r="I710" s="18" t="n">
        <f aca="false">IF($H710="",0,ROUND($H710*AdatFaizOran/AdatYilGunSayisi,2))</f>
        <v>0</v>
      </c>
      <c r="J710" s="22"/>
    </row>
    <row r="711" customFormat="false" ht="15" hidden="false" customHeight="false" outlineLevel="0" collapsed="false">
      <c r="A711" s="21"/>
      <c r="B711" s="22"/>
      <c r="C711" s="22"/>
      <c r="D711" s="23"/>
      <c r="E711" s="20" t="str">
        <f aca="false">IF($A711="","",IF($C711="Borç",-$D711,$D711))</f>
        <v/>
      </c>
      <c r="F711" s="18" t="str">
        <f aca="false">IF($A711="","",IFERROR(IF(INDEX(tblOrtak[Ortak Adı],ROW($A711)-ROW(tblOrtak[[#Headers],[Tarih]])-1)=$B711,INDEX(tblOrtak[Bakiye (₺)],ROW($A711)-ROW(tblOrtak[[#Headers],[Tarih]])-1)+$E711,$E711),$E711))</f>
        <v/>
      </c>
      <c r="G711" s="19" t="str">
        <f aca="false">IF($A711="","",IFERROR(IF(INDEX(tblOrtak[Tarih],ROW($A711)-ROW(tblOrtak[[#Headers],[Tarih]])+1)=0,RaporTarihi,INDEX(tblOrtak[Tarih],ROW($A711)-ROW(tblOrtak[[#Headers],[Tarih]])+1))-$A711,RaporTarihi-$A711))</f>
        <v/>
      </c>
      <c r="H711" s="18" t="n">
        <f aca="false">IF($F711="",0,ROUND($F711*$G711,0))</f>
        <v>0</v>
      </c>
      <c r="I711" s="18" t="n">
        <f aca="false">IF($H711="",0,ROUND($H711*AdatFaizOran/AdatYilGunSayisi,2))</f>
        <v>0</v>
      </c>
      <c r="J711" s="22"/>
    </row>
    <row r="712" customFormat="false" ht="15" hidden="false" customHeight="false" outlineLevel="0" collapsed="false">
      <c r="A712" s="21"/>
      <c r="B712" s="22"/>
      <c r="C712" s="22"/>
      <c r="D712" s="23"/>
      <c r="E712" s="20" t="str">
        <f aca="false">IF($A712="","",IF($C712="Borç",-$D712,$D712))</f>
        <v/>
      </c>
      <c r="F712" s="18" t="str">
        <f aca="false">IF($A712="","",IFERROR(IF(INDEX(tblOrtak[Ortak Adı],ROW($A712)-ROW(tblOrtak[[#Headers],[Tarih]])-1)=$B712,INDEX(tblOrtak[Bakiye (₺)],ROW($A712)-ROW(tblOrtak[[#Headers],[Tarih]])-1)+$E712,$E712),$E712))</f>
        <v/>
      </c>
      <c r="G712" s="19" t="str">
        <f aca="false">IF($A712="","",IFERROR(IF(INDEX(tblOrtak[Tarih],ROW($A712)-ROW(tblOrtak[[#Headers],[Tarih]])+1)=0,RaporTarihi,INDEX(tblOrtak[Tarih],ROW($A712)-ROW(tblOrtak[[#Headers],[Tarih]])+1))-$A712,RaporTarihi-$A712))</f>
        <v/>
      </c>
      <c r="H712" s="18" t="n">
        <f aca="false">IF($F712="",0,ROUND($F712*$G712,0))</f>
        <v>0</v>
      </c>
      <c r="I712" s="18" t="n">
        <f aca="false">IF($H712="",0,ROUND($H712*AdatFaizOran/AdatYilGunSayisi,2))</f>
        <v>0</v>
      </c>
      <c r="J712" s="22"/>
    </row>
    <row r="713" customFormat="false" ht="15" hidden="false" customHeight="false" outlineLevel="0" collapsed="false">
      <c r="A713" s="21"/>
      <c r="B713" s="22"/>
      <c r="C713" s="22"/>
      <c r="D713" s="23"/>
      <c r="E713" s="20" t="str">
        <f aca="false">IF($A713="","",IF($C713="Borç",-$D713,$D713))</f>
        <v/>
      </c>
      <c r="F713" s="18" t="str">
        <f aca="false">IF($A713="","",IFERROR(IF(INDEX(tblOrtak[Ortak Adı],ROW($A713)-ROW(tblOrtak[[#Headers],[Tarih]])-1)=$B713,INDEX(tblOrtak[Bakiye (₺)],ROW($A713)-ROW(tblOrtak[[#Headers],[Tarih]])-1)+$E713,$E713),$E713))</f>
        <v/>
      </c>
      <c r="G713" s="19" t="str">
        <f aca="false">IF($A713="","",IFERROR(IF(INDEX(tblOrtak[Tarih],ROW($A713)-ROW(tblOrtak[[#Headers],[Tarih]])+1)=0,RaporTarihi,INDEX(tblOrtak[Tarih],ROW($A713)-ROW(tblOrtak[[#Headers],[Tarih]])+1))-$A713,RaporTarihi-$A713))</f>
        <v/>
      </c>
      <c r="H713" s="18" t="n">
        <f aca="false">IF($F713="",0,ROUND($F713*$G713,0))</f>
        <v>0</v>
      </c>
      <c r="I713" s="18" t="n">
        <f aca="false">IF($H713="",0,ROUND($H713*AdatFaizOran/AdatYilGunSayisi,2))</f>
        <v>0</v>
      </c>
      <c r="J713" s="22"/>
    </row>
    <row r="714" customFormat="false" ht="15" hidden="false" customHeight="false" outlineLevel="0" collapsed="false">
      <c r="A714" s="21"/>
      <c r="B714" s="22"/>
      <c r="C714" s="22"/>
      <c r="D714" s="23"/>
      <c r="E714" s="20" t="str">
        <f aca="false">IF($A714="","",IF($C714="Borç",-$D714,$D714))</f>
        <v/>
      </c>
      <c r="F714" s="18" t="str">
        <f aca="false">IF($A714="","",IFERROR(IF(INDEX(tblOrtak[Ortak Adı],ROW($A714)-ROW(tblOrtak[[#Headers],[Tarih]])-1)=$B714,INDEX(tblOrtak[Bakiye (₺)],ROW($A714)-ROW(tblOrtak[[#Headers],[Tarih]])-1)+$E714,$E714),$E714))</f>
        <v/>
      </c>
      <c r="G714" s="19" t="str">
        <f aca="false">IF($A714="","",IFERROR(IF(INDEX(tblOrtak[Tarih],ROW($A714)-ROW(tblOrtak[[#Headers],[Tarih]])+1)=0,RaporTarihi,INDEX(tblOrtak[Tarih],ROW($A714)-ROW(tblOrtak[[#Headers],[Tarih]])+1))-$A714,RaporTarihi-$A714))</f>
        <v/>
      </c>
      <c r="H714" s="18" t="n">
        <f aca="false">IF($F714="",0,ROUND($F714*$G714,0))</f>
        <v>0</v>
      </c>
      <c r="I714" s="18" t="n">
        <f aca="false">IF($H714="",0,ROUND($H714*AdatFaizOran/AdatYilGunSayisi,2))</f>
        <v>0</v>
      </c>
      <c r="J714" s="22"/>
    </row>
    <row r="715" customFormat="false" ht="15" hidden="false" customHeight="false" outlineLevel="0" collapsed="false">
      <c r="A715" s="21"/>
      <c r="B715" s="22"/>
      <c r="C715" s="22"/>
      <c r="D715" s="23"/>
      <c r="E715" s="20" t="str">
        <f aca="false">IF($A715="","",IF($C715="Borç",-$D715,$D715))</f>
        <v/>
      </c>
      <c r="F715" s="18" t="str">
        <f aca="false">IF($A715="","",IFERROR(IF(INDEX(tblOrtak[Ortak Adı],ROW($A715)-ROW(tblOrtak[[#Headers],[Tarih]])-1)=$B715,INDEX(tblOrtak[Bakiye (₺)],ROW($A715)-ROW(tblOrtak[[#Headers],[Tarih]])-1)+$E715,$E715),$E715))</f>
        <v/>
      </c>
      <c r="G715" s="19" t="str">
        <f aca="false">IF($A715="","",IFERROR(IF(INDEX(tblOrtak[Tarih],ROW($A715)-ROW(tblOrtak[[#Headers],[Tarih]])+1)=0,RaporTarihi,INDEX(tblOrtak[Tarih],ROW($A715)-ROW(tblOrtak[[#Headers],[Tarih]])+1))-$A715,RaporTarihi-$A715))</f>
        <v/>
      </c>
      <c r="H715" s="18" t="n">
        <f aca="false">IF($F715="",0,ROUND($F715*$G715,0))</f>
        <v>0</v>
      </c>
      <c r="I715" s="18" t="n">
        <f aca="false">IF($H715="",0,ROUND($H715*AdatFaizOran/AdatYilGunSayisi,2))</f>
        <v>0</v>
      </c>
      <c r="J715" s="22"/>
    </row>
    <row r="716" customFormat="false" ht="15" hidden="false" customHeight="false" outlineLevel="0" collapsed="false">
      <c r="A716" s="21"/>
      <c r="B716" s="22"/>
      <c r="C716" s="22"/>
      <c r="D716" s="23"/>
      <c r="E716" s="20" t="str">
        <f aca="false">IF($A716="","",IF($C716="Borç",-$D716,$D716))</f>
        <v/>
      </c>
      <c r="F716" s="18" t="str">
        <f aca="false">IF($A716="","",IFERROR(IF(INDEX(tblOrtak[Ortak Adı],ROW($A716)-ROW(tblOrtak[[#Headers],[Tarih]])-1)=$B716,INDEX(tblOrtak[Bakiye (₺)],ROW($A716)-ROW(tblOrtak[[#Headers],[Tarih]])-1)+$E716,$E716),$E716))</f>
        <v/>
      </c>
      <c r="G716" s="19" t="str">
        <f aca="false">IF($A716="","",IFERROR(IF(INDEX(tblOrtak[Tarih],ROW($A716)-ROW(tblOrtak[[#Headers],[Tarih]])+1)=0,RaporTarihi,INDEX(tblOrtak[Tarih],ROW($A716)-ROW(tblOrtak[[#Headers],[Tarih]])+1))-$A716,RaporTarihi-$A716))</f>
        <v/>
      </c>
      <c r="H716" s="18" t="n">
        <f aca="false">IF($F716="",0,ROUND($F716*$G716,0))</f>
        <v>0</v>
      </c>
      <c r="I716" s="18" t="n">
        <f aca="false">IF($H716="",0,ROUND($H716*AdatFaizOran/AdatYilGunSayisi,2))</f>
        <v>0</v>
      </c>
      <c r="J716" s="22"/>
    </row>
    <row r="717" customFormat="false" ht="15" hidden="false" customHeight="false" outlineLevel="0" collapsed="false">
      <c r="A717" s="21"/>
      <c r="B717" s="22"/>
      <c r="C717" s="22"/>
      <c r="D717" s="23"/>
      <c r="E717" s="20" t="str">
        <f aca="false">IF($A717="","",IF($C717="Borç",-$D717,$D717))</f>
        <v/>
      </c>
      <c r="F717" s="18" t="str">
        <f aca="false">IF($A717="","",IFERROR(IF(INDEX(tblOrtak[Ortak Adı],ROW($A717)-ROW(tblOrtak[[#Headers],[Tarih]])-1)=$B717,INDEX(tblOrtak[Bakiye (₺)],ROW($A717)-ROW(tblOrtak[[#Headers],[Tarih]])-1)+$E717,$E717),$E717))</f>
        <v/>
      </c>
      <c r="G717" s="19" t="str">
        <f aca="false">IF($A717="","",IFERROR(IF(INDEX(tblOrtak[Tarih],ROW($A717)-ROW(tblOrtak[[#Headers],[Tarih]])+1)=0,RaporTarihi,INDEX(tblOrtak[Tarih],ROW($A717)-ROW(tblOrtak[[#Headers],[Tarih]])+1))-$A717,RaporTarihi-$A717))</f>
        <v/>
      </c>
      <c r="H717" s="18" t="n">
        <f aca="false">IF($F717="",0,ROUND($F717*$G717,0))</f>
        <v>0</v>
      </c>
      <c r="I717" s="18" t="n">
        <f aca="false">IF($H717="",0,ROUND($H717*AdatFaizOran/AdatYilGunSayisi,2))</f>
        <v>0</v>
      </c>
      <c r="J717" s="22"/>
    </row>
    <row r="718" customFormat="false" ht="15" hidden="false" customHeight="false" outlineLevel="0" collapsed="false">
      <c r="A718" s="21"/>
      <c r="B718" s="22"/>
      <c r="C718" s="22"/>
      <c r="D718" s="23"/>
      <c r="E718" s="20" t="str">
        <f aca="false">IF($A718="","",IF($C718="Borç",-$D718,$D718))</f>
        <v/>
      </c>
      <c r="F718" s="18" t="str">
        <f aca="false">IF($A718="","",IFERROR(IF(INDEX(tblOrtak[Ortak Adı],ROW($A718)-ROW(tblOrtak[[#Headers],[Tarih]])-1)=$B718,INDEX(tblOrtak[Bakiye (₺)],ROW($A718)-ROW(tblOrtak[[#Headers],[Tarih]])-1)+$E718,$E718),$E718))</f>
        <v/>
      </c>
      <c r="G718" s="19" t="str">
        <f aca="false">IF($A718="","",IFERROR(IF(INDEX(tblOrtak[Tarih],ROW($A718)-ROW(tblOrtak[[#Headers],[Tarih]])+1)=0,RaporTarihi,INDEX(tblOrtak[Tarih],ROW($A718)-ROW(tblOrtak[[#Headers],[Tarih]])+1))-$A718,RaporTarihi-$A718))</f>
        <v/>
      </c>
      <c r="H718" s="18" t="n">
        <f aca="false">IF($F718="",0,ROUND($F718*$G718,0))</f>
        <v>0</v>
      </c>
      <c r="I718" s="18" t="n">
        <f aca="false">IF($H718="",0,ROUND($H718*AdatFaizOran/AdatYilGunSayisi,2))</f>
        <v>0</v>
      </c>
      <c r="J718" s="22"/>
    </row>
    <row r="719" customFormat="false" ht="15" hidden="false" customHeight="false" outlineLevel="0" collapsed="false">
      <c r="A719" s="21"/>
      <c r="B719" s="22"/>
      <c r="C719" s="22"/>
      <c r="D719" s="23"/>
      <c r="E719" s="20" t="str">
        <f aca="false">IF($A719="","",IF($C719="Borç",-$D719,$D719))</f>
        <v/>
      </c>
      <c r="F719" s="18" t="str">
        <f aca="false">IF($A719="","",IFERROR(IF(INDEX(tblOrtak[Ortak Adı],ROW($A719)-ROW(tblOrtak[[#Headers],[Tarih]])-1)=$B719,INDEX(tblOrtak[Bakiye (₺)],ROW($A719)-ROW(tblOrtak[[#Headers],[Tarih]])-1)+$E719,$E719),$E719))</f>
        <v/>
      </c>
      <c r="G719" s="19" t="str">
        <f aca="false">IF($A719="","",IFERROR(IF(INDEX(tblOrtak[Tarih],ROW($A719)-ROW(tblOrtak[[#Headers],[Tarih]])+1)=0,RaporTarihi,INDEX(tblOrtak[Tarih],ROW($A719)-ROW(tblOrtak[[#Headers],[Tarih]])+1))-$A719,RaporTarihi-$A719))</f>
        <v/>
      </c>
      <c r="H719" s="18" t="n">
        <f aca="false">IF($F719="",0,ROUND($F719*$G719,0))</f>
        <v>0</v>
      </c>
      <c r="I719" s="18" t="n">
        <f aca="false">IF($H719="",0,ROUND($H719*AdatFaizOran/AdatYilGunSayisi,2))</f>
        <v>0</v>
      </c>
      <c r="J719" s="22"/>
    </row>
    <row r="720" customFormat="false" ht="15" hidden="false" customHeight="false" outlineLevel="0" collapsed="false">
      <c r="A720" s="21"/>
      <c r="B720" s="22"/>
      <c r="C720" s="22"/>
      <c r="D720" s="23"/>
      <c r="E720" s="20" t="str">
        <f aca="false">IF($A720="","",IF($C720="Borç",-$D720,$D720))</f>
        <v/>
      </c>
      <c r="F720" s="18" t="str">
        <f aca="false">IF($A720="","",IFERROR(IF(INDEX(tblOrtak[Ortak Adı],ROW($A720)-ROW(tblOrtak[[#Headers],[Tarih]])-1)=$B720,INDEX(tblOrtak[Bakiye (₺)],ROW($A720)-ROW(tblOrtak[[#Headers],[Tarih]])-1)+$E720,$E720),$E720))</f>
        <v/>
      </c>
      <c r="G720" s="19" t="str">
        <f aca="false">IF($A720="","",IFERROR(IF(INDEX(tblOrtak[Tarih],ROW($A720)-ROW(tblOrtak[[#Headers],[Tarih]])+1)=0,RaporTarihi,INDEX(tblOrtak[Tarih],ROW($A720)-ROW(tblOrtak[[#Headers],[Tarih]])+1))-$A720,RaporTarihi-$A720))</f>
        <v/>
      </c>
      <c r="H720" s="18" t="n">
        <f aca="false">IF($F720="",0,ROUND($F720*$G720,0))</f>
        <v>0</v>
      </c>
      <c r="I720" s="18" t="n">
        <f aca="false">IF($H720="",0,ROUND($H720*AdatFaizOran/AdatYilGunSayisi,2))</f>
        <v>0</v>
      </c>
      <c r="J720" s="22"/>
    </row>
    <row r="721" customFormat="false" ht="15" hidden="false" customHeight="false" outlineLevel="0" collapsed="false">
      <c r="A721" s="21"/>
      <c r="B721" s="22"/>
      <c r="C721" s="22"/>
      <c r="D721" s="23"/>
      <c r="E721" s="20" t="str">
        <f aca="false">IF($A721="","",IF($C721="Borç",-$D721,$D721))</f>
        <v/>
      </c>
      <c r="F721" s="18" t="str">
        <f aca="false">IF($A721="","",IFERROR(IF(INDEX(tblOrtak[Ortak Adı],ROW($A721)-ROW(tblOrtak[[#Headers],[Tarih]])-1)=$B721,INDEX(tblOrtak[Bakiye (₺)],ROW($A721)-ROW(tblOrtak[[#Headers],[Tarih]])-1)+$E721,$E721),$E721))</f>
        <v/>
      </c>
      <c r="G721" s="19" t="str">
        <f aca="false">IF($A721="","",IFERROR(IF(INDEX(tblOrtak[Tarih],ROW($A721)-ROW(tblOrtak[[#Headers],[Tarih]])+1)=0,RaporTarihi,INDEX(tblOrtak[Tarih],ROW($A721)-ROW(tblOrtak[[#Headers],[Tarih]])+1))-$A721,RaporTarihi-$A721))</f>
        <v/>
      </c>
      <c r="H721" s="18" t="n">
        <f aca="false">IF($F721="",0,ROUND($F721*$G721,0))</f>
        <v>0</v>
      </c>
      <c r="I721" s="18" t="n">
        <f aca="false">IF($H721="",0,ROUND($H721*AdatFaizOran/AdatYilGunSayisi,2))</f>
        <v>0</v>
      </c>
      <c r="J721" s="22"/>
    </row>
    <row r="722" customFormat="false" ht="15" hidden="false" customHeight="false" outlineLevel="0" collapsed="false">
      <c r="A722" s="21"/>
      <c r="B722" s="22"/>
      <c r="C722" s="22"/>
      <c r="D722" s="23"/>
      <c r="E722" s="20" t="str">
        <f aca="false">IF($A722="","",IF($C722="Borç",-$D722,$D722))</f>
        <v/>
      </c>
      <c r="F722" s="18" t="str">
        <f aca="false">IF($A722="","",IFERROR(IF(INDEX(tblOrtak[Ortak Adı],ROW($A722)-ROW(tblOrtak[[#Headers],[Tarih]])-1)=$B722,INDEX(tblOrtak[Bakiye (₺)],ROW($A722)-ROW(tblOrtak[[#Headers],[Tarih]])-1)+$E722,$E722),$E722))</f>
        <v/>
      </c>
      <c r="G722" s="19" t="str">
        <f aca="false">IF($A722="","",IFERROR(IF(INDEX(tblOrtak[Tarih],ROW($A722)-ROW(tblOrtak[[#Headers],[Tarih]])+1)=0,RaporTarihi,INDEX(tblOrtak[Tarih],ROW($A722)-ROW(tblOrtak[[#Headers],[Tarih]])+1))-$A722,RaporTarihi-$A722))</f>
        <v/>
      </c>
      <c r="H722" s="18" t="n">
        <f aca="false">IF($F722="",0,ROUND($F722*$G722,0))</f>
        <v>0</v>
      </c>
      <c r="I722" s="18" t="n">
        <f aca="false">IF($H722="",0,ROUND($H722*AdatFaizOran/AdatYilGunSayisi,2))</f>
        <v>0</v>
      </c>
      <c r="J722" s="22"/>
    </row>
    <row r="723" customFormat="false" ht="15" hidden="false" customHeight="false" outlineLevel="0" collapsed="false">
      <c r="A723" s="21"/>
      <c r="B723" s="22"/>
      <c r="C723" s="22"/>
      <c r="D723" s="23"/>
      <c r="E723" s="20" t="str">
        <f aca="false">IF($A723="","",IF($C723="Borç",-$D723,$D723))</f>
        <v/>
      </c>
      <c r="F723" s="18" t="str">
        <f aca="false">IF($A723="","",IFERROR(IF(INDEX(tblOrtak[Ortak Adı],ROW($A723)-ROW(tblOrtak[[#Headers],[Tarih]])-1)=$B723,INDEX(tblOrtak[Bakiye (₺)],ROW($A723)-ROW(tblOrtak[[#Headers],[Tarih]])-1)+$E723,$E723),$E723))</f>
        <v/>
      </c>
      <c r="G723" s="19" t="str">
        <f aca="false">IF($A723="","",IFERROR(IF(INDEX(tblOrtak[Tarih],ROW($A723)-ROW(tblOrtak[[#Headers],[Tarih]])+1)=0,RaporTarihi,INDEX(tblOrtak[Tarih],ROW($A723)-ROW(tblOrtak[[#Headers],[Tarih]])+1))-$A723,RaporTarihi-$A723))</f>
        <v/>
      </c>
      <c r="H723" s="18" t="n">
        <f aca="false">IF($F723="",0,ROUND($F723*$G723,0))</f>
        <v>0</v>
      </c>
      <c r="I723" s="18" t="n">
        <f aca="false">IF($H723="",0,ROUND($H723*AdatFaizOran/AdatYilGunSayisi,2))</f>
        <v>0</v>
      </c>
      <c r="J723" s="22"/>
    </row>
    <row r="724" customFormat="false" ht="15" hidden="false" customHeight="false" outlineLevel="0" collapsed="false">
      <c r="A724" s="21"/>
      <c r="B724" s="22"/>
      <c r="C724" s="22"/>
      <c r="D724" s="23"/>
      <c r="E724" s="20" t="str">
        <f aca="false">IF($A724="","",IF($C724="Borç",-$D724,$D724))</f>
        <v/>
      </c>
      <c r="F724" s="18" t="str">
        <f aca="false">IF($A724="","",IFERROR(IF(INDEX(tblOrtak[Ortak Adı],ROW($A724)-ROW(tblOrtak[[#Headers],[Tarih]])-1)=$B724,INDEX(tblOrtak[Bakiye (₺)],ROW($A724)-ROW(tblOrtak[[#Headers],[Tarih]])-1)+$E724,$E724),$E724))</f>
        <v/>
      </c>
      <c r="G724" s="19" t="str">
        <f aca="false">IF($A724="","",IFERROR(IF(INDEX(tblOrtak[Tarih],ROW($A724)-ROW(tblOrtak[[#Headers],[Tarih]])+1)=0,RaporTarihi,INDEX(tblOrtak[Tarih],ROW($A724)-ROW(tblOrtak[[#Headers],[Tarih]])+1))-$A724,RaporTarihi-$A724))</f>
        <v/>
      </c>
      <c r="H724" s="18" t="n">
        <f aca="false">IF($F724="",0,ROUND($F724*$G724,0))</f>
        <v>0</v>
      </c>
      <c r="I724" s="18" t="n">
        <f aca="false">IF($H724="",0,ROUND($H724*AdatFaizOran/AdatYilGunSayisi,2))</f>
        <v>0</v>
      </c>
      <c r="J724" s="22"/>
    </row>
    <row r="725" customFormat="false" ht="15" hidden="false" customHeight="false" outlineLevel="0" collapsed="false">
      <c r="A725" s="21"/>
      <c r="B725" s="22"/>
      <c r="C725" s="22"/>
      <c r="D725" s="23"/>
      <c r="E725" s="20" t="str">
        <f aca="false">IF($A725="","",IF($C725="Borç",-$D725,$D725))</f>
        <v/>
      </c>
      <c r="F725" s="18" t="str">
        <f aca="false">IF($A725="","",IFERROR(IF(INDEX(tblOrtak[Ortak Adı],ROW($A725)-ROW(tblOrtak[[#Headers],[Tarih]])-1)=$B725,INDEX(tblOrtak[Bakiye (₺)],ROW($A725)-ROW(tblOrtak[[#Headers],[Tarih]])-1)+$E725,$E725),$E725))</f>
        <v/>
      </c>
      <c r="G725" s="19" t="str">
        <f aca="false">IF($A725="","",IFERROR(IF(INDEX(tblOrtak[Tarih],ROW($A725)-ROW(tblOrtak[[#Headers],[Tarih]])+1)=0,RaporTarihi,INDEX(tblOrtak[Tarih],ROW($A725)-ROW(tblOrtak[[#Headers],[Tarih]])+1))-$A725,RaporTarihi-$A725))</f>
        <v/>
      </c>
      <c r="H725" s="18" t="n">
        <f aca="false">IF($F725="",0,ROUND($F725*$G725,0))</f>
        <v>0</v>
      </c>
      <c r="I725" s="18" t="n">
        <f aca="false">IF($H725="",0,ROUND($H725*AdatFaizOran/AdatYilGunSayisi,2))</f>
        <v>0</v>
      </c>
      <c r="J725" s="22"/>
    </row>
    <row r="726" customFormat="false" ht="15" hidden="false" customHeight="false" outlineLevel="0" collapsed="false">
      <c r="A726" s="21"/>
      <c r="B726" s="22"/>
      <c r="C726" s="22"/>
      <c r="D726" s="23"/>
      <c r="E726" s="20" t="str">
        <f aca="false">IF($A726="","",IF($C726="Borç",-$D726,$D726))</f>
        <v/>
      </c>
      <c r="F726" s="18" t="str">
        <f aca="false">IF($A726="","",IFERROR(IF(INDEX(tblOrtak[Ortak Adı],ROW($A726)-ROW(tblOrtak[[#Headers],[Tarih]])-1)=$B726,INDEX(tblOrtak[Bakiye (₺)],ROW($A726)-ROW(tblOrtak[[#Headers],[Tarih]])-1)+$E726,$E726),$E726))</f>
        <v/>
      </c>
      <c r="G726" s="19" t="str">
        <f aca="false">IF($A726="","",IFERROR(IF(INDEX(tblOrtak[Tarih],ROW($A726)-ROW(tblOrtak[[#Headers],[Tarih]])+1)=0,RaporTarihi,INDEX(tblOrtak[Tarih],ROW($A726)-ROW(tblOrtak[[#Headers],[Tarih]])+1))-$A726,RaporTarihi-$A726))</f>
        <v/>
      </c>
      <c r="H726" s="18" t="n">
        <f aca="false">IF($F726="",0,ROUND($F726*$G726,0))</f>
        <v>0</v>
      </c>
      <c r="I726" s="18" t="n">
        <f aca="false">IF($H726="",0,ROUND($H726*AdatFaizOran/AdatYilGunSayisi,2))</f>
        <v>0</v>
      </c>
      <c r="J726" s="22"/>
    </row>
    <row r="727" customFormat="false" ht="15" hidden="false" customHeight="false" outlineLevel="0" collapsed="false">
      <c r="A727" s="21"/>
      <c r="B727" s="22"/>
      <c r="C727" s="22"/>
      <c r="D727" s="23"/>
      <c r="E727" s="20" t="str">
        <f aca="false">IF($A727="","",IF($C727="Borç",-$D727,$D727))</f>
        <v/>
      </c>
      <c r="F727" s="18" t="str">
        <f aca="false">IF($A727="","",IFERROR(IF(INDEX(tblOrtak[Ortak Adı],ROW($A727)-ROW(tblOrtak[[#Headers],[Tarih]])-1)=$B727,INDEX(tblOrtak[Bakiye (₺)],ROW($A727)-ROW(tblOrtak[[#Headers],[Tarih]])-1)+$E727,$E727),$E727))</f>
        <v/>
      </c>
      <c r="G727" s="19" t="str">
        <f aca="false">IF($A727="","",IFERROR(IF(INDEX(tblOrtak[Tarih],ROW($A727)-ROW(tblOrtak[[#Headers],[Tarih]])+1)=0,RaporTarihi,INDEX(tblOrtak[Tarih],ROW($A727)-ROW(tblOrtak[[#Headers],[Tarih]])+1))-$A727,RaporTarihi-$A727))</f>
        <v/>
      </c>
      <c r="H727" s="18" t="n">
        <f aca="false">IF($F727="",0,ROUND($F727*$G727,0))</f>
        <v>0</v>
      </c>
      <c r="I727" s="18" t="n">
        <f aca="false">IF($H727="",0,ROUND($H727*AdatFaizOran/AdatYilGunSayisi,2))</f>
        <v>0</v>
      </c>
      <c r="J727" s="22"/>
    </row>
    <row r="728" customFormat="false" ht="15" hidden="false" customHeight="false" outlineLevel="0" collapsed="false">
      <c r="A728" s="21"/>
      <c r="B728" s="22"/>
      <c r="C728" s="22"/>
      <c r="D728" s="23"/>
      <c r="E728" s="20" t="str">
        <f aca="false">IF($A728="","",IF($C728="Borç",-$D728,$D728))</f>
        <v/>
      </c>
      <c r="F728" s="18" t="str">
        <f aca="false">IF($A728="","",IFERROR(IF(INDEX(tblOrtak[Ortak Adı],ROW($A728)-ROW(tblOrtak[[#Headers],[Tarih]])-1)=$B728,INDEX(tblOrtak[Bakiye (₺)],ROW($A728)-ROW(tblOrtak[[#Headers],[Tarih]])-1)+$E728,$E728),$E728))</f>
        <v/>
      </c>
      <c r="G728" s="19" t="str">
        <f aca="false">IF($A728="","",IFERROR(IF(INDEX(tblOrtak[Tarih],ROW($A728)-ROW(tblOrtak[[#Headers],[Tarih]])+1)=0,RaporTarihi,INDEX(tblOrtak[Tarih],ROW($A728)-ROW(tblOrtak[[#Headers],[Tarih]])+1))-$A728,RaporTarihi-$A728))</f>
        <v/>
      </c>
      <c r="H728" s="18" t="n">
        <f aca="false">IF($F728="",0,ROUND($F728*$G728,0))</f>
        <v>0</v>
      </c>
      <c r="I728" s="18" t="n">
        <f aca="false">IF($H728="",0,ROUND($H728*AdatFaizOran/AdatYilGunSayisi,2))</f>
        <v>0</v>
      </c>
      <c r="J728" s="22"/>
    </row>
    <row r="729" customFormat="false" ht="15" hidden="false" customHeight="false" outlineLevel="0" collapsed="false">
      <c r="A729" s="21"/>
      <c r="B729" s="22"/>
      <c r="C729" s="22"/>
      <c r="D729" s="23"/>
      <c r="E729" s="20" t="str">
        <f aca="false">IF($A729="","",IF($C729="Borç",-$D729,$D729))</f>
        <v/>
      </c>
      <c r="F729" s="18" t="str">
        <f aca="false">IF($A729="","",IFERROR(IF(INDEX(tblOrtak[Ortak Adı],ROW($A729)-ROW(tblOrtak[[#Headers],[Tarih]])-1)=$B729,INDEX(tblOrtak[Bakiye (₺)],ROW($A729)-ROW(tblOrtak[[#Headers],[Tarih]])-1)+$E729,$E729),$E729))</f>
        <v/>
      </c>
      <c r="G729" s="19" t="str">
        <f aca="false">IF($A729="","",IFERROR(IF(INDEX(tblOrtak[Tarih],ROW($A729)-ROW(tblOrtak[[#Headers],[Tarih]])+1)=0,RaporTarihi,INDEX(tblOrtak[Tarih],ROW($A729)-ROW(tblOrtak[[#Headers],[Tarih]])+1))-$A729,RaporTarihi-$A729))</f>
        <v/>
      </c>
      <c r="H729" s="18" t="n">
        <f aca="false">IF($F729="",0,ROUND($F729*$G729,0))</f>
        <v>0</v>
      </c>
      <c r="I729" s="18" t="n">
        <f aca="false">IF($H729="",0,ROUND($H729*AdatFaizOran/AdatYilGunSayisi,2))</f>
        <v>0</v>
      </c>
      <c r="J729" s="22"/>
    </row>
    <row r="730" customFormat="false" ht="15" hidden="false" customHeight="false" outlineLevel="0" collapsed="false">
      <c r="A730" s="21"/>
      <c r="B730" s="22"/>
      <c r="C730" s="22"/>
      <c r="D730" s="23"/>
      <c r="E730" s="20" t="str">
        <f aca="false">IF($A730="","",IF($C730="Borç",-$D730,$D730))</f>
        <v/>
      </c>
      <c r="F730" s="18" t="str">
        <f aca="false">IF($A730="","",IFERROR(IF(INDEX(tblOrtak[Ortak Adı],ROW($A730)-ROW(tblOrtak[[#Headers],[Tarih]])-1)=$B730,INDEX(tblOrtak[Bakiye (₺)],ROW($A730)-ROW(tblOrtak[[#Headers],[Tarih]])-1)+$E730,$E730),$E730))</f>
        <v/>
      </c>
      <c r="G730" s="19" t="str">
        <f aca="false">IF($A730="","",IFERROR(IF(INDEX(tblOrtak[Tarih],ROW($A730)-ROW(tblOrtak[[#Headers],[Tarih]])+1)=0,RaporTarihi,INDEX(tblOrtak[Tarih],ROW($A730)-ROW(tblOrtak[[#Headers],[Tarih]])+1))-$A730,RaporTarihi-$A730))</f>
        <v/>
      </c>
      <c r="H730" s="18" t="n">
        <f aca="false">IF($F730="",0,ROUND($F730*$G730,0))</f>
        <v>0</v>
      </c>
      <c r="I730" s="18" t="n">
        <f aca="false">IF($H730="",0,ROUND($H730*AdatFaizOran/AdatYilGunSayisi,2))</f>
        <v>0</v>
      </c>
      <c r="J730" s="22"/>
    </row>
    <row r="731" customFormat="false" ht="15" hidden="false" customHeight="false" outlineLevel="0" collapsed="false">
      <c r="A731" s="21"/>
      <c r="B731" s="22"/>
      <c r="C731" s="22"/>
      <c r="D731" s="23"/>
      <c r="E731" s="20" t="str">
        <f aca="false">IF($A731="","",IF($C731="Borç",-$D731,$D731))</f>
        <v/>
      </c>
      <c r="F731" s="18" t="str">
        <f aca="false">IF($A731="","",IFERROR(IF(INDEX(tblOrtak[Ortak Adı],ROW($A731)-ROW(tblOrtak[[#Headers],[Tarih]])-1)=$B731,INDEX(tblOrtak[Bakiye (₺)],ROW($A731)-ROW(tblOrtak[[#Headers],[Tarih]])-1)+$E731,$E731),$E731))</f>
        <v/>
      </c>
      <c r="G731" s="19" t="str">
        <f aca="false">IF($A731="","",IFERROR(IF(INDEX(tblOrtak[Tarih],ROW($A731)-ROW(tblOrtak[[#Headers],[Tarih]])+1)=0,RaporTarihi,INDEX(tblOrtak[Tarih],ROW($A731)-ROW(tblOrtak[[#Headers],[Tarih]])+1))-$A731,RaporTarihi-$A731))</f>
        <v/>
      </c>
      <c r="H731" s="18" t="n">
        <f aca="false">IF($F731="",0,ROUND($F731*$G731,0))</f>
        <v>0</v>
      </c>
      <c r="I731" s="18" t="n">
        <f aca="false">IF($H731="",0,ROUND($H731*AdatFaizOran/AdatYilGunSayisi,2))</f>
        <v>0</v>
      </c>
      <c r="J731" s="22"/>
    </row>
    <row r="732" customFormat="false" ht="15" hidden="false" customHeight="false" outlineLevel="0" collapsed="false">
      <c r="A732" s="21"/>
      <c r="B732" s="22"/>
      <c r="C732" s="22"/>
      <c r="D732" s="23"/>
      <c r="E732" s="20" t="str">
        <f aca="false">IF($A732="","",IF($C732="Borç",-$D732,$D732))</f>
        <v/>
      </c>
      <c r="F732" s="18" t="str">
        <f aca="false">IF($A732="","",IFERROR(IF(INDEX(tblOrtak[Ortak Adı],ROW($A732)-ROW(tblOrtak[[#Headers],[Tarih]])-1)=$B732,INDEX(tblOrtak[Bakiye (₺)],ROW($A732)-ROW(tblOrtak[[#Headers],[Tarih]])-1)+$E732,$E732),$E732))</f>
        <v/>
      </c>
      <c r="G732" s="19" t="str">
        <f aca="false">IF($A732="","",IFERROR(IF(INDEX(tblOrtak[Tarih],ROW($A732)-ROW(tblOrtak[[#Headers],[Tarih]])+1)=0,RaporTarihi,INDEX(tblOrtak[Tarih],ROW($A732)-ROW(tblOrtak[[#Headers],[Tarih]])+1))-$A732,RaporTarihi-$A732))</f>
        <v/>
      </c>
      <c r="H732" s="18" t="n">
        <f aca="false">IF($F732="",0,ROUND($F732*$G732,0))</f>
        <v>0</v>
      </c>
      <c r="I732" s="18" t="n">
        <f aca="false">IF($H732="",0,ROUND($H732*AdatFaizOran/AdatYilGunSayisi,2))</f>
        <v>0</v>
      </c>
      <c r="J732" s="22"/>
    </row>
    <row r="733" customFormat="false" ht="15" hidden="false" customHeight="false" outlineLevel="0" collapsed="false">
      <c r="A733" s="21"/>
      <c r="B733" s="22"/>
      <c r="C733" s="22"/>
      <c r="D733" s="23"/>
      <c r="E733" s="20" t="str">
        <f aca="false">IF($A733="","",IF($C733="Borç",-$D733,$D733))</f>
        <v/>
      </c>
      <c r="F733" s="18" t="str">
        <f aca="false">IF($A733="","",IFERROR(IF(INDEX(tblOrtak[Ortak Adı],ROW($A733)-ROW(tblOrtak[[#Headers],[Tarih]])-1)=$B733,INDEX(tblOrtak[Bakiye (₺)],ROW($A733)-ROW(tblOrtak[[#Headers],[Tarih]])-1)+$E733,$E733),$E733))</f>
        <v/>
      </c>
      <c r="G733" s="19" t="str">
        <f aca="false">IF($A733="","",IFERROR(IF(INDEX(tblOrtak[Tarih],ROW($A733)-ROW(tblOrtak[[#Headers],[Tarih]])+1)=0,RaporTarihi,INDEX(tblOrtak[Tarih],ROW($A733)-ROW(tblOrtak[[#Headers],[Tarih]])+1))-$A733,RaporTarihi-$A733))</f>
        <v/>
      </c>
      <c r="H733" s="18" t="n">
        <f aca="false">IF($F733="",0,ROUND($F733*$G733,0))</f>
        <v>0</v>
      </c>
      <c r="I733" s="18" t="n">
        <f aca="false">IF($H733="",0,ROUND($H733*AdatFaizOran/AdatYilGunSayisi,2))</f>
        <v>0</v>
      </c>
      <c r="J733" s="22"/>
    </row>
    <row r="734" customFormat="false" ht="15" hidden="false" customHeight="false" outlineLevel="0" collapsed="false">
      <c r="A734" s="21"/>
      <c r="B734" s="22"/>
      <c r="C734" s="22"/>
      <c r="D734" s="23"/>
      <c r="E734" s="20" t="str">
        <f aca="false">IF($A734="","",IF($C734="Borç",-$D734,$D734))</f>
        <v/>
      </c>
      <c r="F734" s="18" t="str">
        <f aca="false">IF($A734="","",IFERROR(IF(INDEX(tblOrtak[Ortak Adı],ROW($A734)-ROW(tblOrtak[[#Headers],[Tarih]])-1)=$B734,INDEX(tblOrtak[Bakiye (₺)],ROW($A734)-ROW(tblOrtak[[#Headers],[Tarih]])-1)+$E734,$E734),$E734))</f>
        <v/>
      </c>
      <c r="G734" s="19" t="str">
        <f aca="false">IF($A734="","",IFERROR(IF(INDEX(tblOrtak[Tarih],ROW($A734)-ROW(tblOrtak[[#Headers],[Tarih]])+1)=0,RaporTarihi,INDEX(tblOrtak[Tarih],ROW($A734)-ROW(tblOrtak[[#Headers],[Tarih]])+1))-$A734,RaporTarihi-$A734))</f>
        <v/>
      </c>
      <c r="H734" s="18" t="n">
        <f aca="false">IF($F734="",0,ROUND($F734*$G734,0))</f>
        <v>0</v>
      </c>
      <c r="I734" s="18" t="n">
        <f aca="false">IF($H734="",0,ROUND($H734*AdatFaizOran/AdatYilGunSayisi,2))</f>
        <v>0</v>
      </c>
      <c r="J734" s="22"/>
    </row>
    <row r="735" customFormat="false" ht="15" hidden="false" customHeight="false" outlineLevel="0" collapsed="false">
      <c r="A735" s="21"/>
      <c r="B735" s="22"/>
      <c r="C735" s="22"/>
      <c r="D735" s="23"/>
      <c r="E735" s="20" t="str">
        <f aca="false">IF($A735="","",IF($C735="Borç",-$D735,$D735))</f>
        <v/>
      </c>
      <c r="F735" s="18" t="str">
        <f aca="false">IF($A735="","",IFERROR(IF(INDEX(tblOrtak[Ortak Adı],ROW($A735)-ROW(tblOrtak[[#Headers],[Tarih]])-1)=$B735,INDEX(tblOrtak[Bakiye (₺)],ROW($A735)-ROW(tblOrtak[[#Headers],[Tarih]])-1)+$E735,$E735),$E735))</f>
        <v/>
      </c>
      <c r="G735" s="19" t="str">
        <f aca="false">IF($A735="","",IFERROR(IF(INDEX(tblOrtak[Tarih],ROW($A735)-ROW(tblOrtak[[#Headers],[Tarih]])+1)=0,RaporTarihi,INDEX(tblOrtak[Tarih],ROW($A735)-ROW(tblOrtak[[#Headers],[Tarih]])+1))-$A735,RaporTarihi-$A735))</f>
        <v/>
      </c>
      <c r="H735" s="18" t="n">
        <f aca="false">IF($F735="",0,ROUND($F735*$G735,0))</f>
        <v>0</v>
      </c>
      <c r="I735" s="18" t="n">
        <f aca="false">IF($H735="",0,ROUND($H735*AdatFaizOran/AdatYilGunSayisi,2))</f>
        <v>0</v>
      </c>
      <c r="J735" s="22"/>
    </row>
    <row r="736" customFormat="false" ht="15" hidden="false" customHeight="false" outlineLevel="0" collapsed="false">
      <c r="A736" s="21"/>
      <c r="B736" s="22"/>
      <c r="C736" s="22"/>
      <c r="D736" s="23"/>
      <c r="E736" s="20" t="str">
        <f aca="false">IF($A736="","",IF($C736="Borç",-$D736,$D736))</f>
        <v/>
      </c>
      <c r="F736" s="18" t="str">
        <f aca="false">IF($A736="","",IFERROR(IF(INDEX(tblOrtak[Ortak Adı],ROW($A736)-ROW(tblOrtak[[#Headers],[Tarih]])-1)=$B736,INDEX(tblOrtak[Bakiye (₺)],ROW($A736)-ROW(tblOrtak[[#Headers],[Tarih]])-1)+$E736,$E736),$E736))</f>
        <v/>
      </c>
      <c r="G736" s="19" t="str">
        <f aca="false">IF($A736="","",IFERROR(IF(INDEX(tblOrtak[Tarih],ROW($A736)-ROW(tblOrtak[[#Headers],[Tarih]])+1)=0,RaporTarihi,INDEX(tblOrtak[Tarih],ROW($A736)-ROW(tblOrtak[[#Headers],[Tarih]])+1))-$A736,RaporTarihi-$A736))</f>
        <v/>
      </c>
      <c r="H736" s="18" t="n">
        <f aca="false">IF($F736="",0,ROUND($F736*$G736,0))</f>
        <v>0</v>
      </c>
      <c r="I736" s="18" t="n">
        <f aca="false">IF($H736="",0,ROUND($H736*AdatFaizOran/AdatYilGunSayisi,2))</f>
        <v>0</v>
      </c>
      <c r="J736" s="22"/>
    </row>
    <row r="737" customFormat="false" ht="15" hidden="false" customHeight="false" outlineLevel="0" collapsed="false">
      <c r="A737" s="21"/>
      <c r="B737" s="22"/>
      <c r="C737" s="22"/>
      <c r="D737" s="23"/>
      <c r="E737" s="20" t="str">
        <f aca="false">IF($A737="","",IF($C737="Borç",-$D737,$D737))</f>
        <v/>
      </c>
      <c r="F737" s="18" t="str">
        <f aca="false">IF($A737="","",IFERROR(IF(INDEX(tblOrtak[Ortak Adı],ROW($A737)-ROW(tblOrtak[[#Headers],[Tarih]])-1)=$B737,INDEX(tblOrtak[Bakiye (₺)],ROW($A737)-ROW(tblOrtak[[#Headers],[Tarih]])-1)+$E737,$E737),$E737))</f>
        <v/>
      </c>
      <c r="G737" s="19" t="str">
        <f aca="false">IF($A737="","",IFERROR(IF(INDEX(tblOrtak[Tarih],ROW($A737)-ROW(tblOrtak[[#Headers],[Tarih]])+1)=0,RaporTarihi,INDEX(tblOrtak[Tarih],ROW($A737)-ROW(tblOrtak[[#Headers],[Tarih]])+1))-$A737,RaporTarihi-$A737))</f>
        <v/>
      </c>
      <c r="H737" s="18" t="n">
        <f aca="false">IF($F737="",0,ROUND($F737*$G737,0))</f>
        <v>0</v>
      </c>
      <c r="I737" s="18" t="n">
        <f aca="false">IF($H737="",0,ROUND($H737*AdatFaizOran/AdatYilGunSayisi,2))</f>
        <v>0</v>
      </c>
      <c r="J737" s="22"/>
    </row>
    <row r="738" customFormat="false" ht="15" hidden="false" customHeight="false" outlineLevel="0" collapsed="false">
      <c r="A738" s="21"/>
      <c r="B738" s="22"/>
      <c r="C738" s="22"/>
      <c r="D738" s="23"/>
      <c r="E738" s="20" t="str">
        <f aca="false">IF($A738="","",IF($C738="Borç",-$D738,$D738))</f>
        <v/>
      </c>
      <c r="F738" s="18" t="str">
        <f aca="false">IF($A738="","",IFERROR(IF(INDEX(tblOrtak[Ortak Adı],ROW($A738)-ROW(tblOrtak[[#Headers],[Tarih]])-1)=$B738,INDEX(tblOrtak[Bakiye (₺)],ROW($A738)-ROW(tblOrtak[[#Headers],[Tarih]])-1)+$E738,$E738),$E738))</f>
        <v/>
      </c>
      <c r="G738" s="19" t="str">
        <f aca="false">IF($A738="","",IFERROR(IF(INDEX(tblOrtak[Tarih],ROW($A738)-ROW(tblOrtak[[#Headers],[Tarih]])+1)=0,RaporTarihi,INDEX(tblOrtak[Tarih],ROW($A738)-ROW(tblOrtak[[#Headers],[Tarih]])+1))-$A738,RaporTarihi-$A738))</f>
        <v/>
      </c>
      <c r="H738" s="18" t="n">
        <f aca="false">IF($F738="",0,ROUND($F738*$G738,0))</f>
        <v>0</v>
      </c>
      <c r="I738" s="18" t="n">
        <f aca="false">IF($H738="",0,ROUND($H738*AdatFaizOran/AdatYilGunSayisi,2))</f>
        <v>0</v>
      </c>
      <c r="J738" s="22"/>
    </row>
    <row r="739" customFormat="false" ht="15" hidden="false" customHeight="false" outlineLevel="0" collapsed="false">
      <c r="A739" s="21"/>
      <c r="B739" s="22"/>
      <c r="C739" s="22"/>
      <c r="D739" s="23"/>
      <c r="E739" s="20" t="str">
        <f aca="false">IF($A739="","",IF($C739="Borç",-$D739,$D739))</f>
        <v/>
      </c>
      <c r="F739" s="18" t="str">
        <f aca="false">IF($A739="","",IFERROR(IF(INDEX(tblOrtak[Ortak Adı],ROW($A739)-ROW(tblOrtak[[#Headers],[Tarih]])-1)=$B739,INDEX(tblOrtak[Bakiye (₺)],ROW($A739)-ROW(tblOrtak[[#Headers],[Tarih]])-1)+$E739,$E739),$E739))</f>
        <v/>
      </c>
      <c r="G739" s="19" t="str">
        <f aca="false">IF($A739="","",IFERROR(IF(INDEX(tblOrtak[Tarih],ROW($A739)-ROW(tblOrtak[[#Headers],[Tarih]])+1)=0,RaporTarihi,INDEX(tblOrtak[Tarih],ROW($A739)-ROW(tblOrtak[[#Headers],[Tarih]])+1))-$A739,RaporTarihi-$A739))</f>
        <v/>
      </c>
      <c r="H739" s="18" t="n">
        <f aca="false">IF($F739="",0,ROUND($F739*$G739,0))</f>
        <v>0</v>
      </c>
      <c r="I739" s="18" t="n">
        <f aca="false">IF($H739="",0,ROUND($H739*AdatFaizOran/AdatYilGunSayisi,2))</f>
        <v>0</v>
      </c>
      <c r="J739" s="22"/>
    </row>
    <row r="740" customFormat="false" ht="15" hidden="false" customHeight="false" outlineLevel="0" collapsed="false">
      <c r="A740" s="21"/>
      <c r="B740" s="22"/>
      <c r="C740" s="22"/>
      <c r="D740" s="23"/>
      <c r="E740" s="20" t="str">
        <f aca="false">IF($A740="","",IF($C740="Borç",-$D740,$D740))</f>
        <v/>
      </c>
      <c r="F740" s="18" t="str">
        <f aca="false">IF($A740="","",IFERROR(IF(INDEX(tblOrtak[Ortak Adı],ROW($A740)-ROW(tblOrtak[[#Headers],[Tarih]])-1)=$B740,INDEX(tblOrtak[Bakiye (₺)],ROW($A740)-ROW(tblOrtak[[#Headers],[Tarih]])-1)+$E740,$E740),$E740))</f>
        <v/>
      </c>
      <c r="G740" s="19" t="str">
        <f aca="false">IF($A740="","",IFERROR(IF(INDEX(tblOrtak[Tarih],ROW($A740)-ROW(tblOrtak[[#Headers],[Tarih]])+1)=0,RaporTarihi,INDEX(tblOrtak[Tarih],ROW($A740)-ROW(tblOrtak[[#Headers],[Tarih]])+1))-$A740,RaporTarihi-$A740))</f>
        <v/>
      </c>
      <c r="H740" s="18" t="n">
        <f aca="false">IF($F740="",0,ROUND($F740*$G740,0))</f>
        <v>0</v>
      </c>
      <c r="I740" s="18" t="n">
        <f aca="false">IF($H740="",0,ROUND($H740*AdatFaizOran/AdatYilGunSayisi,2))</f>
        <v>0</v>
      </c>
      <c r="J740" s="22"/>
    </row>
    <row r="741" customFormat="false" ht="15" hidden="false" customHeight="false" outlineLevel="0" collapsed="false">
      <c r="A741" s="21"/>
      <c r="B741" s="22"/>
      <c r="C741" s="22"/>
      <c r="D741" s="23"/>
      <c r="E741" s="20" t="str">
        <f aca="false">IF($A741="","",IF($C741="Borç",-$D741,$D741))</f>
        <v/>
      </c>
      <c r="F741" s="18" t="str">
        <f aca="false">IF($A741="","",IFERROR(IF(INDEX(tblOrtak[Ortak Adı],ROW($A741)-ROW(tblOrtak[[#Headers],[Tarih]])-1)=$B741,INDEX(tblOrtak[Bakiye (₺)],ROW($A741)-ROW(tblOrtak[[#Headers],[Tarih]])-1)+$E741,$E741),$E741))</f>
        <v/>
      </c>
      <c r="G741" s="19" t="str">
        <f aca="false">IF($A741="","",IFERROR(IF(INDEX(tblOrtak[Tarih],ROW($A741)-ROW(tblOrtak[[#Headers],[Tarih]])+1)=0,RaporTarihi,INDEX(tblOrtak[Tarih],ROW($A741)-ROW(tblOrtak[[#Headers],[Tarih]])+1))-$A741,RaporTarihi-$A741))</f>
        <v/>
      </c>
      <c r="H741" s="18" t="n">
        <f aca="false">IF($F741="",0,ROUND($F741*$G741,0))</f>
        <v>0</v>
      </c>
      <c r="I741" s="18" t="n">
        <f aca="false">IF($H741="",0,ROUND($H741*AdatFaizOran/AdatYilGunSayisi,2))</f>
        <v>0</v>
      </c>
      <c r="J741" s="22"/>
    </row>
    <row r="742" customFormat="false" ht="15" hidden="false" customHeight="false" outlineLevel="0" collapsed="false">
      <c r="A742" s="21"/>
      <c r="B742" s="22"/>
      <c r="C742" s="22"/>
      <c r="D742" s="23"/>
      <c r="E742" s="20" t="str">
        <f aca="false">IF($A742="","",IF($C742="Borç",-$D742,$D742))</f>
        <v/>
      </c>
      <c r="F742" s="18" t="str">
        <f aca="false">IF($A742="","",IFERROR(IF(INDEX(tblOrtak[Ortak Adı],ROW($A742)-ROW(tblOrtak[[#Headers],[Tarih]])-1)=$B742,INDEX(tblOrtak[Bakiye (₺)],ROW($A742)-ROW(tblOrtak[[#Headers],[Tarih]])-1)+$E742,$E742),$E742))</f>
        <v/>
      </c>
      <c r="G742" s="19" t="str">
        <f aca="false">IF($A742="","",IFERROR(IF(INDEX(tblOrtak[Tarih],ROW($A742)-ROW(tblOrtak[[#Headers],[Tarih]])+1)=0,RaporTarihi,INDEX(tblOrtak[Tarih],ROW($A742)-ROW(tblOrtak[[#Headers],[Tarih]])+1))-$A742,RaporTarihi-$A742))</f>
        <v/>
      </c>
      <c r="H742" s="18" t="n">
        <f aca="false">IF($F742="",0,ROUND($F742*$G742,0))</f>
        <v>0</v>
      </c>
      <c r="I742" s="18" t="n">
        <f aca="false">IF($H742="",0,ROUND($H742*AdatFaizOran/AdatYilGunSayisi,2))</f>
        <v>0</v>
      </c>
      <c r="J742" s="22"/>
    </row>
    <row r="743" customFormat="false" ht="15" hidden="false" customHeight="false" outlineLevel="0" collapsed="false">
      <c r="A743" s="21"/>
      <c r="B743" s="22"/>
      <c r="C743" s="22"/>
      <c r="D743" s="23"/>
      <c r="E743" s="20" t="str">
        <f aca="false">IF($A743="","",IF($C743="Borç",-$D743,$D743))</f>
        <v/>
      </c>
      <c r="F743" s="18" t="str">
        <f aca="false">IF($A743="","",IFERROR(IF(INDEX(tblOrtak[Ortak Adı],ROW($A743)-ROW(tblOrtak[[#Headers],[Tarih]])-1)=$B743,INDEX(tblOrtak[Bakiye (₺)],ROW($A743)-ROW(tblOrtak[[#Headers],[Tarih]])-1)+$E743,$E743),$E743))</f>
        <v/>
      </c>
      <c r="G743" s="19" t="str">
        <f aca="false">IF($A743="","",IFERROR(IF(INDEX(tblOrtak[Tarih],ROW($A743)-ROW(tblOrtak[[#Headers],[Tarih]])+1)=0,RaporTarihi,INDEX(tblOrtak[Tarih],ROW($A743)-ROW(tblOrtak[[#Headers],[Tarih]])+1))-$A743,RaporTarihi-$A743))</f>
        <v/>
      </c>
      <c r="H743" s="18" t="n">
        <f aca="false">IF($F743="",0,ROUND($F743*$G743,0))</f>
        <v>0</v>
      </c>
      <c r="I743" s="18" t="n">
        <f aca="false">IF($H743="",0,ROUND($H743*AdatFaizOran/AdatYilGunSayisi,2))</f>
        <v>0</v>
      </c>
      <c r="J743" s="22"/>
    </row>
    <row r="744" customFormat="false" ht="15" hidden="false" customHeight="false" outlineLevel="0" collapsed="false">
      <c r="A744" s="21"/>
      <c r="B744" s="22"/>
      <c r="C744" s="22"/>
      <c r="D744" s="23"/>
      <c r="E744" s="20" t="str">
        <f aca="false">IF($A744="","",IF($C744="Borç",-$D744,$D744))</f>
        <v/>
      </c>
      <c r="F744" s="18" t="str">
        <f aca="false">IF($A744="","",IFERROR(IF(INDEX(tblOrtak[Ortak Adı],ROW($A744)-ROW(tblOrtak[[#Headers],[Tarih]])-1)=$B744,INDEX(tblOrtak[Bakiye (₺)],ROW($A744)-ROW(tblOrtak[[#Headers],[Tarih]])-1)+$E744,$E744),$E744))</f>
        <v/>
      </c>
      <c r="G744" s="19" t="str">
        <f aca="false">IF($A744="","",IFERROR(IF(INDEX(tblOrtak[Tarih],ROW($A744)-ROW(tblOrtak[[#Headers],[Tarih]])+1)=0,RaporTarihi,INDEX(tblOrtak[Tarih],ROW($A744)-ROW(tblOrtak[[#Headers],[Tarih]])+1))-$A744,RaporTarihi-$A744))</f>
        <v/>
      </c>
      <c r="H744" s="18" t="n">
        <f aca="false">IF($F744="",0,ROUND($F744*$G744,0))</f>
        <v>0</v>
      </c>
      <c r="I744" s="18" t="n">
        <f aca="false">IF($H744="",0,ROUND($H744*AdatFaizOran/AdatYilGunSayisi,2))</f>
        <v>0</v>
      </c>
      <c r="J744" s="22"/>
    </row>
    <row r="745" customFormat="false" ht="15" hidden="false" customHeight="false" outlineLevel="0" collapsed="false">
      <c r="A745" s="21"/>
      <c r="B745" s="22"/>
      <c r="C745" s="22"/>
      <c r="D745" s="23"/>
      <c r="E745" s="20" t="str">
        <f aca="false">IF($A745="","",IF($C745="Borç",-$D745,$D745))</f>
        <v/>
      </c>
      <c r="F745" s="18" t="str">
        <f aca="false">IF($A745="","",IFERROR(IF(INDEX(tblOrtak[Ortak Adı],ROW($A745)-ROW(tblOrtak[[#Headers],[Tarih]])-1)=$B745,INDEX(tblOrtak[Bakiye (₺)],ROW($A745)-ROW(tblOrtak[[#Headers],[Tarih]])-1)+$E745,$E745),$E745))</f>
        <v/>
      </c>
      <c r="G745" s="19" t="str">
        <f aca="false">IF($A745="","",IFERROR(IF(INDEX(tblOrtak[Tarih],ROW($A745)-ROW(tblOrtak[[#Headers],[Tarih]])+1)=0,RaporTarihi,INDEX(tblOrtak[Tarih],ROW($A745)-ROW(tblOrtak[[#Headers],[Tarih]])+1))-$A745,RaporTarihi-$A745))</f>
        <v/>
      </c>
      <c r="H745" s="18" t="n">
        <f aca="false">IF($F745="",0,ROUND($F745*$G745,0))</f>
        <v>0</v>
      </c>
      <c r="I745" s="18" t="n">
        <f aca="false">IF($H745="",0,ROUND($H745*AdatFaizOran/AdatYilGunSayisi,2))</f>
        <v>0</v>
      </c>
      <c r="J745" s="22"/>
    </row>
    <row r="746" customFormat="false" ht="15" hidden="false" customHeight="false" outlineLevel="0" collapsed="false">
      <c r="A746" s="21"/>
      <c r="B746" s="22"/>
      <c r="C746" s="22"/>
      <c r="D746" s="23"/>
      <c r="E746" s="20" t="str">
        <f aca="false">IF($A746="","",IF($C746="Borç",-$D746,$D746))</f>
        <v/>
      </c>
      <c r="F746" s="18" t="str">
        <f aca="false">IF($A746="","",IFERROR(IF(INDEX(tblOrtak[Ortak Adı],ROW($A746)-ROW(tblOrtak[[#Headers],[Tarih]])-1)=$B746,INDEX(tblOrtak[Bakiye (₺)],ROW($A746)-ROW(tblOrtak[[#Headers],[Tarih]])-1)+$E746,$E746),$E746))</f>
        <v/>
      </c>
      <c r="G746" s="19" t="str">
        <f aca="false">IF($A746="","",IFERROR(IF(INDEX(tblOrtak[Tarih],ROW($A746)-ROW(tblOrtak[[#Headers],[Tarih]])+1)=0,RaporTarihi,INDEX(tblOrtak[Tarih],ROW($A746)-ROW(tblOrtak[[#Headers],[Tarih]])+1))-$A746,RaporTarihi-$A746))</f>
        <v/>
      </c>
      <c r="H746" s="18" t="n">
        <f aca="false">IF($F746="",0,ROUND($F746*$G746,0))</f>
        <v>0</v>
      </c>
      <c r="I746" s="18" t="n">
        <f aca="false">IF($H746="",0,ROUND($H746*AdatFaizOran/AdatYilGunSayisi,2))</f>
        <v>0</v>
      </c>
      <c r="J746" s="22"/>
    </row>
    <row r="747" customFormat="false" ht="15" hidden="false" customHeight="false" outlineLevel="0" collapsed="false">
      <c r="A747" s="21"/>
      <c r="B747" s="22"/>
      <c r="C747" s="22"/>
      <c r="D747" s="23"/>
      <c r="E747" s="20" t="str">
        <f aca="false">IF($A747="","",IF($C747="Borç",-$D747,$D747))</f>
        <v/>
      </c>
      <c r="F747" s="18" t="str">
        <f aca="false">IF($A747="","",IFERROR(IF(INDEX(tblOrtak[Ortak Adı],ROW($A747)-ROW(tblOrtak[[#Headers],[Tarih]])-1)=$B747,INDEX(tblOrtak[Bakiye (₺)],ROW($A747)-ROW(tblOrtak[[#Headers],[Tarih]])-1)+$E747,$E747),$E747))</f>
        <v/>
      </c>
      <c r="G747" s="19" t="str">
        <f aca="false">IF($A747="","",IFERROR(IF(INDEX(tblOrtak[Tarih],ROW($A747)-ROW(tblOrtak[[#Headers],[Tarih]])+1)=0,RaporTarihi,INDEX(tblOrtak[Tarih],ROW($A747)-ROW(tblOrtak[[#Headers],[Tarih]])+1))-$A747,RaporTarihi-$A747))</f>
        <v/>
      </c>
      <c r="H747" s="18" t="n">
        <f aca="false">IF($F747="",0,ROUND($F747*$G747,0))</f>
        <v>0</v>
      </c>
      <c r="I747" s="18" t="n">
        <f aca="false">IF($H747="",0,ROUND($H747*AdatFaizOran/AdatYilGunSayisi,2))</f>
        <v>0</v>
      </c>
      <c r="J747" s="22"/>
    </row>
    <row r="748" customFormat="false" ht="15" hidden="false" customHeight="false" outlineLevel="0" collapsed="false">
      <c r="A748" s="21"/>
      <c r="B748" s="22"/>
      <c r="C748" s="22"/>
      <c r="D748" s="23"/>
      <c r="E748" s="20" t="str">
        <f aca="false">IF($A748="","",IF($C748="Borç",-$D748,$D748))</f>
        <v/>
      </c>
      <c r="F748" s="18" t="str">
        <f aca="false">IF($A748="","",IFERROR(IF(INDEX(tblOrtak[Ortak Adı],ROW($A748)-ROW(tblOrtak[[#Headers],[Tarih]])-1)=$B748,INDEX(tblOrtak[Bakiye (₺)],ROW($A748)-ROW(tblOrtak[[#Headers],[Tarih]])-1)+$E748,$E748),$E748))</f>
        <v/>
      </c>
      <c r="G748" s="19" t="str">
        <f aca="false">IF($A748="","",IFERROR(IF(INDEX(tblOrtak[Tarih],ROW($A748)-ROW(tblOrtak[[#Headers],[Tarih]])+1)=0,RaporTarihi,INDEX(tblOrtak[Tarih],ROW($A748)-ROW(tblOrtak[[#Headers],[Tarih]])+1))-$A748,RaporTarihi-$A748))</f>
        <v/>
      </c>
      <c r="H748" s="18" t="n">
        <f aca="false">IF($F748="",0,ROUND($F748*$G748,0))</f>
        <v>0</v>
      </c>
      <c r="I748" s="18" t="n">
        <f aca="false">IF($H748="",0,ROUND($H748*AdatFaizOran/AdatYilGunSayisi,2))</f>
        <v>0</v>
      </c>
      <c r="J748" s="22"/>
    </row>
    <row r="749" customFormat="false" ht="15" hidden="false" customHeight="false" outlineLevel="0" collapsed="false">
      <c r="A749" s="21"/>
      <c r="B749" s="22"/>
      <c r="C749" s="22"/>
      <c r="D749" s="23"/>
      <c r="E749" s="20" t="str">
        <f aca="false">IF($A749="","",IF($C749="Borç",-$D749,$D749))</f>
        <v/>
      </c>
      <c r="F749" s="18" t="str">
        <f aca="false">IF($A749="","",IFERROR(IF(INDEX(tblOrtak[Ortak Adı],ROW($A749)-ROW(tblOrtak[[#Headers],[Tarih]])-1)=$B749,INDEX(tblOrtak[Bakiye (₺)],ROW($A749)-ROW(tblOrtak[[#Headers],[Tarih]])-1)+$E749,$E749),$E749))</f>
        <v/>
      </c>
      <c r="G749" s="19" t="str">
        <f aca="false">IF($A749="","",IFERROR(IF(INDEX(tblOrtak[Tarih],ROW($A749)-ROW(tblOrtak[[#Headers],[Tarih]])+1)=0,RaporTarihi,INDEX(tblOrtak[Tarih],ROW($A749)-ROW(tblOrtak[[#Headers],[Tarih]])+1))-$A749,RaporTarihi-$A749))</f>
        <v/>
      </c>
      <c r="H749" s="18" t="n">
        <f aca="false">IF($F749="",0,ROUND($F749*$G749,0))</f>
        <v>0</v>
      </c>
      <c r="I749" s="18" t="n">
        <f aca="false">IF($H749="",0,ROUND($H749*AdatFaizOran/AdatYilGunSayisi,2))</f>
        <v>0</v>
      </c>
      <c r="J749" s="22"/>
    </row>
    <row r="750" customFormat="false" ht="15" hidden="false" customHeight="false" outlineLevel="0" collapsed="false">
      <c r="A750" s="21"/>
      <c r="B750" s="22"/>
      <c r="C750" s="22"/>
      <c r="D750" s="23"/>
      <c r="E750" s="20" t="str">
        <f aca="false">IF($A750="","",IF($C750="Borç",-$D750,$D750))</f>
        <v/>
      </c>
      <c r="F750" s="18" t="str">
        <f aca="false">IF($A750="","",IFERROR(IF(INDEX(tblOrtak[Ortak Adı],ROW($A750)-ROW(tblOrtak[[#Headers],[Tarih]])-1)=$B750,INDEX(tblOrtak[Bakiye (₺)],ROW($A750)-ROW(tblOrtak[[#Headers],[Tarih]])-1)+$E750,$E750),$E750))</f>
        <v/>
      </c>
      <c r="G750" s="19" t="str">
        <f aca="false">IF($A750="","",IFERROR(IF(INDEX(tblOrtak[Tarih],ROW($A750)-ROW(tblOrtak[[#Headers],[Tarih]])+1)=0,RaporTarihi,INDEX(tblOrtak[Tarih],ROW($A750)-ROW(tblOrtak[[#Headers],[Tarih]])+1))-$A750,RaporTarihi-$A750))</f>
        <v/>
      </c>
      <c r="H750" s="18" t="n">
        <f aca="false">IF($F750="",0,ROUND($F750*$G750,0))</f>
        <v>0</v>
      </c>
      <c r="I750" s="18" t="n">
        <f aca="false">IF($H750="",0,ROUND($H750*AdatFaizOran/AdatYilGunSayisi,2))</f>
        <v>0</v>
      </c>
      <c r="J750" s="22"/>
    </row>
    <row r="751" customFormat="false" ht="15" hidden="false" customHeight="false" outlineLevel="0" collapsed="false">
      <c r="A751" s="21"/>
      <c r="B751" s="22"/>
      <c r="C751" s="22"/>
      <c r="D751" s="23"/>
      <c r="E751" s="20" t="str">
        <f aca="false">IF($A751="","",IF($C751="Borç",-$D751,$D751))</f>
        <v/>
      </c>
      <c r="F751" s="18" t="str">
        <f aca="false">IF($A751="","",IFERROR(IF(INDEX(tblOrtak[Ortak Adı],ROW($A751)-ROW(tblOrtak[[#Headers],[Tarih]])-1)=$B751,INDEX(tblOrtak[Bakiye (₺)],ROW($A751)-ROW(tblOrtak[[#Headers],[Tarih]])-1)+$E751,$E751),$E751))</f>
        <v/>
      </c>
      <c r="G751" s="19" t="str">
        <f aca="false">IF($A751="","",IFERROR(IF(INDEX(tblOrtak[Tarih],ROW($A751)-ROW(tblOrtak[[#Headers],[Tarih]])+1)=0,RaporTarihi,INDEX(tblOrtak[Tarih],ROW($A751)-ROW(tblOrtak[[#Headers],[Tarih]])+1))-$A751,RaporTarihi-$A751))</f>
        <v/>
      </c>
      <c r="H751" s="18" t="n">
        <f aca="false">IF($F751="",0,ROUND($F751*$G751,0))</f>
        <v>0</v>
      </c>
      <c r="I751" s="18" t="n">
        <f aca="false">IF($H751="",0,ROUND($H751*AdatFaizOran/AdatYilGunSayisi,2))</f>
        <v>0</v>
      </c>
      <c r="J751" s="22"/>
    </row>
    <row r="752" customFormat="false" ht="15" hidden="false" customHeight="false" outlineLevel="0" collapsed="false">
      <c r="A752" s="21"/>
      <c r="B752" s="22"/>
      <c r="C752" s="22"/>
      <c r="D752" s="23"/>
      <c r="E752" s="20" t="str">
        <f aca="false">IF($A752="","",IF($C752="Borç",-$D752,$D752))</f>
        <v/>
      </c>
      <c r="F752" s="18" t="str">
        <f aca="false">IF($A752="","",IFERROR(IF(INDEX(tblOrtak[Ortak Adı],ROW($A752)-ROW(tblOrtak[[#Headers],[Tarih]])-1)=$B752,INDEX(tblOrtak[Bakiye (₺)],ROW($A752)-ROW(tblOrtak[[#Headers],[Tarih]])-1)+$E752,$E752),$E752))</f>
        <v/>
      </c>
      <c r="G752" s="19" t="str">
        <f aca="false">IF($A752="","",IFERROR(IF(INDEX(tblOrtak[Tarih],ROW($A752)-ROW(tblOrtak[[#Headers],[Tarih]])+1)=0,RaporTarihi,INDEX(tblOrtak[Tarih],ROW($A752)-ROW(tblOrtak[[#Headers],[Tarih]])+1))-$A752,RaporTarihi-$A752))</f>
        <v/>
      </c>
      <c r="H752" s="18" t="n">
        <f aca="false">IF($F752="",0,ROUND($F752*$G752,0))</f>
        <v>0</v>
      </c>
      <c r="I752" s="18" t="n">
        <f aca="false">IF($H752="",0,ROUND($H752*AdatFaizOran/AdatYilGunSayisi,2))</f>
        <v>0</v>
      </c>
      <c r="J752" s="22"/>
    </row>
    <row r="753" customFormat="false" ht="15" hidden="false" customHeight="false" outlineLevel="0" collapsed="false">
      <c r="A753" s="21"/>
      <c r="B753" s="22"/>
      <c r="C753" s="22"/>
      <c r="D753" s="23"/>
      <c r="E753" s="20" t="str">
        <f aca="false">IF($A753="","",IF($C753="Borç",-$D753,$D753))</f>
        <v/>
      </c>
      <c r="F753" s="18" t="str">
        <f aca="false">IF($A753="","",IFERROR(IF(INDEX(tblOrtak[Ortak Adı],ROW($A753)-ROW(tblOrtak[[#Headers],[Tarih]])-1)=$B753,INDEX(tblOrtak[Bakiye (₺)],ROW($A753)-ROW(tblOrtak[[#Headers],[Tarih]])-1)+$E753,$E753),$E753))</f>
        <v/>
      </c>
      <c r="G753" s="19" t="str">
        <f aca="false">IF($A753="","",IFERROR(IF(INDEX(tblOrtak[Tarih],ROW($A753)-ROW(tblOrtak[[#Headers],[Tarih]])+1)=0,RaporTarihi,INDEX(tblOrtak[Tarih],ROW($A753)-ROW(tblOrtak[[#Headers],[Tarih]])+1))-$A753,RaporTarihi-$A753))</f>
        <v/>
      </c>
      <c r="H753" s="18" t="n">
        <f aca="false">IF($F753="",0,ROUND($F753*$G753,0))</f>
        <v>0</v>
      </c>
      <c r="I753" s="18" t="n">
        <f aca="false">IF($H753="",0,ROUND($H753*AdatFaizOran/AdatYilGunSayisi,2))</f>
        <v>0</v>
      </c>
      <c r="J753" s="22"/>
    </row>
    <row r="754" customFormat="false" ht="15" hidden="false" customHeight="false" outlineLevel="0" collapsed="false">
      <c r="A754" s="21"/>
      <c r="B754" s="22"/>
      <c r="C754" s="22"/>
      <c r="D754" s="23"/>
      <c r="E754" s="20" t="str">
        <f aca="false">IF($A754="","",IF($C754="Borç",-$D754,$D754))</f>
        <v/>
      </c>
      <c r="F754" s="18" t="str">
        <f aca="false">IF($A754="","",IFERROR(IF(INDEX(tblOrtak[Ortak Adı],ROW($A754)-ROW(tblOrtak[[#Headers],[Tarih]])-1)=$B754,INDEX(tblOrtak[Bakiye (₺)],ROW($A754)-ROW(tblOrtak[[#Headers],[Tarih]])-1)+$E754,$E754),$E754))</f>
        <v/>
      </c>
      <c r="G754" s="19" t="str">
        <f aca="false">IF($A754="","",IFERROR(IF(INDEX(tblOrtak[Tarih],ROW($A754)-ROW(tblOrtak[[#Headers],[Tarih]])+1)=0,RaporTarihi,INDEX(tblOrtak[Tarih],ROW($A754)-ROW(tblOrtak[[#Headers],[Tarih]])+1))-$A754,RaporTarihi-$A754))</f>
        <v/>
      </c>
      <c r="H754" s="18" t="n">
        <f aca="false">IF($F754="",0,ROUND($F754*$G754,0))</f>
        <v>0</v>
      </c>
      <c r="I754" s="18" t="n">
        <f aca="false">IF($H754="",0,ROUND($H754*AdatFaizOran/AdatYilGunSayisi,2))</f>
        <v>0</v>
      </c>
      <c r="J754" s="22"/>
    </row>
    <row r="755" customFormat="false" ht="15" hidden="false" customHeight="false" outlineLevel="0" collapsed="false">
      <c r="A755" s="21"/>
      <c r="B755" s="22"/>
      <c r="C755" s="22"/>
      <c r="D755" s="23"/>
      <c r="E755" s="20" t="str">
        <f aca="false">IF($A755="","",IF($C755="Borç",-$D755,$D755))</f>
        <v/>
      </c>
      <c r="F755" s="18" t="str">
        <f aca="false">IF($A755="","",IFERROR(IF(INDEX(tblOrtak[Ortak Adı],ROW($A755)-ROW(tblOrtak[[#Headers],[Tarih]])-1)=$B755,INDEX(tblOrtak[Bakiye (₺)],ROW($A755)-ROW(tblOrtak[[#Headers],[Tarih]])-1)+$E755,$E755),$E755))</f>
        <v/>
      </c>
      <c r="G755" s="19" t="str">
        <f aca="false">IF($A755="","",IFERROR(IF(INDEX(tblOrtak[Tarih],ROW($A755)-ROW(tblOrtak[[#Headers],[Tarih]])+1)=0,RaporTarihi,INDEX(tblOrtak[Tarih],ROW($A755)-ROW(tblOrtak[[#Headers],[Tarih]])+1))-$A755,RaporTarihi-$A755))</f>
        <v/>
      </c>
      <c r="H755" s="18" t="n">
        <f aca="false">IF($F755="",0,ROUND($F755*$G755,0))</f>
        <v>0</v>
      </c>
      <c r="I755" s="18" t="n">
        <f aca="false">IF($H755="",0,ROUND($H755*AdatFaizOran/AdatYilGunSayisi,2))</f>
        <v>0</v>
      </c>
      <c r="J755" s="22"/>
    </row>
    <row r="756" customFormat="false" ht="15" hidden="false" customHeight="false" outlineLevel="0" collapsed="false">
      <c r="A756" s="21"/>
      <c r="B756" s="22"/>
      <c r="C756" s="22"/>
      <c r="D756" s="23"/>
      <c r="E756" s="20" t="str">
        <f aca="false">IF($A756="","",IF($C756="Borç",-$D756,$D756))</f>
        <v/>
      </c>
      <c r="F756" s="18" t="str">
        <f aca="false">IF($A756="","",IFERROR(IF(INDEX(tblOrtak[Ortak Adı],ROW($A756)-ROW(tblOrtak[[#Headers],[Tarih]])-1)=$B756,INDEX(tblOrtak[Bakiye (₺)],ROW($A756)-ROW(tblOrtak[[#Headers],[Tarih]])-1)+$E756,$E756),$E756))</f>
        <v/>
      </c>
      <c r="G756" s="19" t="str">
        <f aca="false">IF($A756="","",IFERROR(IF(INDEX(tblOrtak[Tarih],ROW($A756)-ROW(tblOrtak[[#Headers],[Tarih]])+1)=0,RaporTarihi,INDEX(tblOrtak[Tarih],ROW($A756)-ROW(tblOrtak[[#Headers],[Tarih]])+1))-$A756,RaporTarihi-$A756))</f>
        <v/>
      </c>
      <c r="H756" s="18" t="n">
        <f aca="false">IF($F756="",0,ROUND($F756*$G756,0))</f>
        <v>0</v>
      </c>
      <c r="I756" s="18" t="n">
        <f aca="false">IF($H756="",0,ROUND($H756*AdatFaizOran/AdatYilGunSayisi,2))</f>
        <v>0</v>
      </c>
      <c r="J756" s="22"/>
    </row>
    <row r="757" customFormat="false" ht="15" hidden="false" customHeight="false" outlineLevel="0" collapsed="false">
      <c r="A757" s="21"/>
      <c r="B757" s="22"/>
      <c r="C757" s="22"/>
      <c r="D757" s="23"/>
      <c r="E757" s="20" t="str">
        <f aca="false">IF($A757="","",IF($C757="Borç",-$D757,$D757))</f>
        <v/>
      </c>
      <c r="F757" s="18" t="str">
        <f aca="false">IF($A757="","",IFERROR(IF(INDEX(tblOrtak[Ortak Adı],ROW($A757)-ROW(tblOrtak[[#Headers],[Tarih]])-1)=$B757,INDEX(tblOrtak[Bakiye (₺)],ROW($A757)-ROW(tblOrtak[[#Headers],[Tarih]])-1)+$E757,$E757),$E757))</f>
        <v/>
      </c>
      <c r="G757" s="19" t="str">
        <f aca="false">IF($A757="","",IFERROR(IF(INDEX(tblOrtak[Tarih],ROW($A757)-ROW(tblOrtak[[#Headers],[Tarih]])+1)=0,RaporTarihi,INDEX(tblOrtak[Tarih],ROW($A757)-ROW(tblOrtak[[#Headers],[Tarih]])+1))-$A757,RaporTarihi-$A757))</f>
        <v/>
      </c>
      <c r="H757" s="18" t="n">
        <f aca="false">IF($F757="",0,ROUND($F757*$G757,0))</f>
        <v>0</v>
      </c>
      <c r="I757" s="18" t="n">
        <f aca="false">IF($H757="",0,ROUND($H757*AdatFaizOran/AdatYilGunSayisi,2))</f>
        <v>0</v>
      </c>
      <c r="J757" s="22"/>
    </row>
    <row r="758" customFormat="false" ht="15" hidden="false" customHeight="false" outlineLevel="0" collapsed="false">
      <c r="A758" s="21"/>
      <c r="B758" s="22"/>
      <c r="C758" s="22"/>
      <c r="D758" s="23"/>
      <c r="E758" s="20" t="str">
        <f aca="false">IF($A758="","",IF($C758="Borç",-$D758,$D758))</f>
        <v/>
      </c>
      <c r="F758" s="18" t="str">
        <f aca="false">IF($A758="","",IFERROR(IF(INDEX(tblOrtak[Ortak Adı],ROW($A758)-ROW(tblOrtak[[#Headers],[Tarih]])-1)=$B758,INDEX(tblOrtak[Bakiye (₺)],ROW($A758)-ROW(tblOrtak[[#Headers],[Tarih]])-1)+$E758,$E758),$E758))</f>
        <v/>
      </c>
      <c r="G758" s="19" t="str">
        <f aca="false">IF($A758="","",IFERROR(IF(INDEX(tblOrtak[Tarih],ROW($A758)-ROW(tblOrtak[[#Headers],[Tarih]])+1)=0,RaporTarihi,INDEX(tblOrtak[Tarih],ROW($A758)-ROW(tblOrtak[[#Headers],[Tarih]])+1))-$A758,RaporTarihi-$A758))</f>
        <v/>
      </c>
      <c r="H758" s="18" t="n">
        <f aca="false">IF($F758="",0,ROUND($F758*$G758,0))</f>
        <v>0</v>
      </c>
      <c r="I758" s="18" t="n">
        <f aca="false">IF($H758="",0,ROUND($H758*AdatFaizOran/AdatYilGunSayisi,2))</f>
        <v>0</v>
      </c>
      <c r="J758" s="22"/>
    </row>
    <row r="759" customFormat="false" ht="15" hidden="false" customHeight="false" outlineLevel="0" collapsed="false">
      <c r="A759" s="21"/>
      <c r="B759" s="22"/>
      <c r="C759" s="22"/>
      <c r="D759" s="23"/>
      <c r="E759" s="20" t="str">
        <f aca="false">IF($A759="","",IF($C759="Borç",-$D759,$D759))</f>
        <v/>
      </c>
      <c r="F759" s="18" t="str">
        <f aca="false">IF($A759="","",IFERROR(IF(INDEX(tblOrtak[Ortak Adı],ROW($A759)-ROW(tblOrtak[[#Headers],[Tarih]])-1)=$B759,INDEX(tblOrtak[Bakiye (₺)],ROW($A759)-ROW(tblOrtak[[#Headers],[Tarih]])-1)+$E759,$E759),$E759))</f>
        <v/>
      </c>
      <c r="G759" s="19" t="str">
        <f aca="false">IF($A759="","",IFERROR(IF(INDEX(tblOrtak[Tarih],ROW($A759)-ROW(tblOrtak[[#Headers],[Tarih]])+1)=0,RaporTarihi,INDEX(tblOrtak[Tarih],ROW($A759)-ROW(tblOrtak[[#Headers],[Tarih]])+1))-$A759,RaporTarihi-$A759))</f>
        <v/>
      </c>
      <c r="H759" s="18" t="n">
        <f aca="false">IF($F759="",0,ROUND($F759*$G759,0))</f>
        <v>0</v>
      </c>
      <c r="I759" s="18" t="n">
        <f aca="false">IF($H759="",0,ROUND($H759*AdatFaizOran/AdatYilGunSayisi,2))</f>
        <v>0</v>
      </c>
      <c r="J759" s="22"/>
    </row>
    <row r="760" customFormat="false" ht="15" hidden="false" customHeight="false" outlineLevel="0" collapsed="false">
      <c r="A760" s="21"/>
      <c r="B760" s="22"/>
      <c r="C760" s="22"/>
      <c r="D760" s="23"/>
      <c r="E760" s="20" t="str">
        <f aca="false">IF($A760="","",IF($C760="Borç",-$D760,$D760))</f>
        <v/>
      </c>
      <c r="F760" s="18" t="str">
        <f aca="false">IF($A760="","",IFERROR(IF(INDEX(tblOrtak[Ortak Adı],ROW($A760)-ROW(tblOrtak[[#Headers],[Tarih]])-1)=$B760,INDEX(tblOrtak[Bakiye (₺)],ROW($A760)-ROW(tblOrtak[[#Headers],[Tarih]])-1)+$E760,$E760),$E760))</f>
        <v/>
      </c>
      <c r="G760" s="19" t="str">
        <f aca="false">IF($A760="","",IFERROR(IF(INDEX(tblOrtak[Tarih],ROW($A760)-ROW(tblOrtak[[#Headers],[Tarih]])+1)=0,RaporTarihi,INDEX(tblOrtak[Tarih],ROW($A760)-ROW(tblOrtak[[#Headers],[Tarih]])+1))-$A760,RaporTarihi-$A760))</f>
        <v/>
      </c>
      <c r="H760" s="18" t="n">
        <f aca="false">IF($F760="",0,ROUND($F760*$G760,0))</f>
        <v>0</v>
      </c>
      <c r="I760" s="18" t="n">
        <f aca="false">IF($H760="",0,ROUND($H760*AdatFaizOran/AdatYilGunSayisi,2))</f>
        <v>0</v>
      </c>
      <c r="J760" s="22"/>
    </row>
    <row r="761" customFormat="false" ht="15" hidden="false" customHeight="false" outlineLevel="0" collapsed="false">
      <c r="A761" s="21"/>
      <c r="B761" s="22"/>
      <c r="C761" s="22"/>
      <c r="D761" s="23"/>
      <c r="E761" s="20" t="str">
        <f aca="false">IF($A761="","",IF($C761="Borç",-$D761,$D761))</f>
        <v/>
      </c>
      <c r="F761" s="18" t="str">
        <f aca="false">IF($A761="","",IFERROR(IF(INDEX(tblOrtak[Ortak Adı],ROW($A761)-ROW(tblOrtak[[#Headers],[Tarih]])-1)=$B761,INDEX(tblOrtak[Bakiye (₺)],ROW($A761)-ROW(tblOrtak[[#Headers],[Tarih]])-1)+$E761,$E761),$E761))</f>
        <v/>
      </c>
      <c r="G761" s="19" t="str">
        <f aca="false">IF($A761="","",IFERROR(IF(INDEX(tblOrtak[Tarih],ROW($A761)-ROW(tblOrtak[[#Headers],[Tarih]])+1)=0,RaporTarihi,INDEX(tblOrtak[Tarih],ROW($A761)-ROW(tblOrtak[[#Headers],[Tarih]])+1))-$A761,RaporTarihi-$A761))</f>
        <v/>
      </c>
      <c r="H761" s="18" t="n">
        <f aca="false">IF($F761="",0,ROUND($F761*$G761,0))</f>
        <v>0</v>
      </c>
      <c r="I761" s="18" t="n">
        <f aca="false">IF($H761="",0,ROUND($H761*AdatFaizOran/AdatYilGunSayisi,2))</f>
        <v>0</v>
      </c>
      <c r="J761" s="22"/>
    </row>
    <row r="762" customFormat="false" ht="15" hidden="false" customHeight="false" outlineLevel="0" collapsed="false">
      <c r="A762" s="21"/>
      <c r="B762" s="22"/>
      <c r="C762" s="22"/>
      <c r="D762" s="23"/>
      <c r="E762" s="20" t="str">
        <f aca="false">IF($A762="","",IF($C762="Borç",-$D762,$D762))</f>
        <v/>
      </c>
      <c r="F762" s="18" t="str">
        <f aca="false">IF($A762="","",IFERROR(IF(INDEX(tblOrtak[Ortak Adı],ROW($A762)-ROW(tblOrtak[[#Headers],[Tarih]])-1)=$B762,INDEX(tblOrtak[Bakiye (₺)],ROW($A762)-ROW(tblOrtak[[#Headers],[Tarih]])-1)+$E762,$E762),$E762))</f>
        <v/>
      </c>
      <c r="G762" s="19" t="str">
        <f aca="false">IF($A762="","",IFERROR(IF(INDEX(tblOrtak[Tarih],ROW($A762)-ROW(tblOrtak[[#Headers],[Tarih]])+1)=0,RaporTarihi,INDEX(tblOrtak[Tarih],ROW($A762)-ROW(tblOrtak[[#Headers],[Tarih]])+1))-$A762,RaporTarihi-$A762))</f>
        <v/>
      </c>
      <c r="H762" s="18" t="n">
        <f aca="false">IF($F762="",0,ROUND($F762*$G762,0))</f>
        <v>0</v>
      </c>
      <c r="I762" s="18" t="n">
        <f aca="false">IF($H762="",0,ROUND($H762*AdatFaizOran/AdatYilGunSayisi,2))</f>
        <v>0</v>
      </c>
      <c r="J762" s="22"/>
    </row>
    <row r="763" customFormat="false" ht="15" hidden="false" customHeight="false" outlineLevel="0" collapsed="false">
      <c r="A763" s="21"/>
      <c r="B763" s="22"/>
      <c r="C763" s="22"/>
      <c r="D763" s="23"/>
      <c r="E763" s="20" t="str">
        <f aca="false">IF($A763="","",IF($C763="Borç",-$D763,$D763))</f>
        <v/>
      </c>
      <c r="F763" s="18" t="str">
        <f aca="false">IF($A763="","",IFERROR(IF(INDEX(tblOrtak[Ortak Adı],ROW($A763)-ROW(tblOrtak[[#Headers],[Tarih]])-1)=$B763,INDEX(tblOrtak[Bakiye (₺)],ROW($A763)-ROW(tblOrtak[[#Headers],[Tarih]])-1)+$E763,$E763),$E763))</f>
        <v/>
      </c>
      <c r="G763" s="19" t="str">
        <f aca="false">IF($A763="","",IFERROR(IF(INDEX(tblOrtak[Tarih],ROW($A763)-ROW(tblOrtak[[#Headers],[Tarih]])+1)=0,RaporTarihi,INDEX(tblOrtak[Tarih],ROW($A763)-ROW(tblOrtak[[#Headers],[Tarih]])+1))-$A763,RaporTarihi-$A763))</f>
        <v/>
      </c>
      <c r="H763" s="18" t="n">
        <f aca="false">IF($F763="",0,ROUND($F763*$G763,0))</f>
        <v>0</v>
      </c>
      <c r="I763" s="18" t="n">
        <f aca="false">IF($H763="",0,ROUND($H763*AdatFaizOran/AdatYilGunSayisi,2))</f>
        <v>0</v>
      </c>
      <c r="J763" s="22"/>
    </row>
    <row r="764" customFormat="false" ht="15" hidden="false" customHeight="false" outlineLevel="0" collapsed="false">
      <c r="A764" s="21"/>
      <c r="B764" s="22"/>
      <c r="C764" s="22"/>
      <c r="D764" s="23"/>
      <c r="E764" s="20" t="str">
        <f aca="false">IF($A764="","",IF($C764="Borç",-$D764,$D764))</f>
        <v/>
      </c>
      <c r="F764" s="18" t="str">
        <f aca="false">IF($A764="","",IFERROR(IF(INDEX(tblOrtak[Ortak Adı],ROW($A764)-ROW(tblOrtak[[#Headers],[Tarih]])-1)=$B764,INDEX(tblOrtak[Bakiye (₺)],ROW($A764)-ROW(tblOrtak[[#Headers],[Tarih]])-1)+$E764,$E764),$E764))</f>
        <v/>
      </c>
      <c r="G764" s="19" t="str">
        <f aca="false">IF($A764="","",IFERROR(IF(INDEX(tblOrtak[Tarih],ROW($A764)-ROW(tblOrtak[[#Headers],[Tarih]])+1)=0,RaporTarihi,INDEX(tblOrtak[Tarih],ROW($A764)-ROW(tblOrtak[[#Headers],[Tarih]])+1))-$A764,RaporTarihi-$A764))</f>
        <v/>
      </c>
      <c r="H764" s="18" t="n">
        <f aca="false">IF($F764="",0,ROUND($F764*$G764,0))</f>
        <v>0</v>
      </c>
      <c r="I764" s="18" t="n">
        <f aca="false">IF($H764="",0,ROUND($H764*AdatFaizOran/AdatYilGunSayisi,2))</f>
        <v>0</v>
      </c>
      <c r="J764" s="22"/>
    </row>
    <row r="765" customFormat="false" ht="15" hidden="false" customHeight="false" outlineLevel="0" collapsed="false">
      <c r="A765" s="21"/>
      <c r="B765" s="22"/>
      <c r="C765" s="22"/>
      <c r="D765" s="23"/>
      <c r="E765" s="20" t="str">
        <f aca="false">IF($A765="","",IF($C765="Borç",-$D765,$D765))</f>
        <v/>
      </c>
      <c r="F765" s="18" t="str">
        <f aca="false">IF($A765="","",IFERROR(IF(INDEX(tblOrtak[Ortak Adı],ROW($A765)-ROW(tblOrtak[[#Headers],[Tarih]])-1)=$B765,INDEX(tblOrtak[Bakiye (₺)],ROW($A765)-ROW(tblOrtak[[#Headers],[Tarih]])-1)+$E765,$E765),$E765))</f>
        <v/>
      </c>
      <c r="G765" s="19" t="str">
        <f aca="false">IF($A765="","",IFERROR(IF(INDEX(tblOrtak[Tarih],ROW($A765)-ROW(tblOrtak[[#Headers],[Tarih]])+1)=0,RaporTarihi,INDEX(tblOrtak[Tarih],ROW($A765)-ROW(tblOrtak[[#Headers],[Tarih]])+1))-$A765,RaporTarihi-$A765))</f>
        <v/>
      </c>
      <c r="H765" s="18" t="n">
        <f aca="false">IF($F765="",0,ROUND($F765*$G765,0))</f>
        <v>0</v>
      </c>
      <c r="I765" s="18" t="n">
        <f aca="false">IF($H765="",0,ROUND($H765*AdatFaizOran/AdatYilGunSayisi,2))</f>
        <v>0</v>
      </c>
      <c r="J765" s="22"/>
    </row>
    <row r="766" customFormat="false" ht="15" hidden="false" customHeight="false" outlineLevel="0" collapsed="false">
      <c r="A766" s="21"/>
      <c r="B766" s="22"/>
      <c r="C766" s="22"/>
      <c r="D766" s="23"/>
      <c r="E766" s="20" t="str">
        <f aca="false">IF($A766="","",IF($C766="Borç",-$D766,$D766))</f>
        <v/>
      </c>
      <c r="F766" s="18" t="str">
        <f aca="false">IF($A766="","",IFERROR(IF(INDEX(tblOrtak[Ortak Adı],ROW($A766)-ROW(tblOrtak[[#Headers],[Tarih]])-1)=$B766,INDEX(tblOrtak[Bakiye (₺)],ROW($A766)-ROW(tblOrtak[[#Headers],[Tarih]])-1)+$E766,$E766),$E766))</f>
        <v/>
      </c>
      <c r="G766" s="19" t="str">
        <f aca="false">IF($A766="","",IFERROR(IF(INDEX(tblOrtak[Tarih],ROW($A766)-ROW(tblOrtak[[#Headers],[Tarih]])+1)=0,RaporTarihi,INDEX(tblOrtak[Tarih],ROW($A766)-ROW(tblOrtak[[#Headers],[Tarih]])+1))-$A766,RaporTarihi-$A766))</f>
        <v/>
      </c>
      <c r="H766" s="18" t="n">
        <f aca="false">IF($F766="",0,ROUND($F766*$G766,0))</f>
        <v>0</v>
      </c>
      <c r="I766" s="18" t="n">
        <f aca="false">IF($H766="",0,ROUND($H766*AdatFaizOran/AdatYilGunSayisi,2))</f>
        <v>0</v>
      </c>
      <c r="J766" s="22"/>
    </row>
    <row r="767" customFormat="false" ht="15" hidden="false" customHeight="false" outlineLevel="0" collapsed="false">
      <c r="A767" s="21"/>
      <c r="B767" s="22"/>
      <c r="C767" s="22"/>
      <c r="D767" s="23"/>
      <c r="E767" s="20" t="str">
        <f aca="false">IF($A767="","",IF($C767="Borç",-$D767,$D767))</f>
        <v/>
      </c>
      <c r="F767" s="18" t="str">
        <f aca="false">IF($A767="","",IFERROR(IF(INDEX(tblOrtak[Ortak Adı],ROW($A767)-ROW(tblOrtak[[#Headers],[Tarih]])-1)=$B767,INDEX(tblOrtak[Bakiye (₺)],ROW($A767)-ROW(tblOrtak[[#Headers],[Tarih]])-1)+$E767,$E767),$E767))</f>
        <v/>
      </c>
      <c r="G767" s="19" t="str">
        <f aca="false">IF($A767="","",IFERROR(IF(INDEX(tblOrtak[Tarih],ROW($A767)-ROW(tblOrtak[[#Headers],[Tarih]])+1)=0,RaporTarihi,INDEX(tblOrtak[Tarih],ROW($A767)-ROW(tblOrtak[[#Headers],[Tarih]])+1))-$A767,RaporTarihi-$A767))</f>
        <v/>
      </c>
      <c r="H767" s="18" t="n">
        <f aca="false">IF($F767="",0,ROUND($F767*$G767,0))</f>
        <v>0</v>
      </c>
      <c r="I767" s="18" t="n">
        <f aca="false">IF($H767="",0,ROUND($H767*AdatFaizOran/AdatYilGunSayisi,2))</f>
        <v>0</v>
      </c>
      <c r="J767" s="22"/>
    </row>
    <row r="768" customFormat="false" ht="15" hidden="false" customHeight="false" outlineLevel="0" collapsed="false">
      <c r="A768" s="21"/>
      <c r="B768" s="22"/>
      <c r="C768" s="22"/>
      <c r="D768" s="23"/>
      <c r="E768" s="20" t="str">
        <f aca="false">IF($A768="","",IF($C768="Borç",-$D768,$D768))</f>
        <v/>
      </c>
      <c r="F768" s="18" t="str">
        <f aca="false">IF($A768="","",IFERROR(IF(INDEX(tblOrtak[Ortak Adı],ROW($A768)-ROW(tblOrtak[[#Headers],[Tarih]])-1)=$B768,INDEX(tblOrtak[Bakiye (₺)],ROW($A768)-ROW(tblOrtak[[#Headers],[Tarih]])-1)+$E768,$E768),$E768))</f>
        <v/>
      </c>
      <c r="G768" s="19" t="str">
        <f aca="false">IF($A768="","",IFERROR(IF(INDEX(tblOrtak[Tarih],ROW($A768)-ROW(tblOrtak[[#Headers],[Tarih]])+1)=0,RaporTarihi,INDEX(tblOrtak[Tarih],ROW($A768)-ROW(tblOrtak[[#Headers],[Tarih]])+1))-$A768,RaporTarihi-$A768))</f>
        <v/>
      </c>
      <c r="H768" s="18" t="n">
        <f aca="false">IF($F768="",0,ROUND($F768*$G768,0))</f>
        <v>0</v>
      </c>
      <c r="I768" s="18" t="n">
        <f aca="false">IF($H768="",0,ROUND($H768*AdatFaizOran/AdatYilGunSayisi,2))</f>
        <v>0</v>
      </c>
      <c r="J768" s="22"/>
    </row>
    <row r="769" customFormat="false" ht="15" hidden="false" customHeight="false" outlineLevel="0" collapsed="false">
      <c r="A769" s="21"/>
      <c r="B769" s="22"/>
      <c r="C769" s="22"/>
      <c r="D769" s="23"/>
      <c r="E769" s="20" t="str">
        <f aca="false">IF($A769="","",IF($C769="Borç",-$D769,$D769))</f>
        <v/>
      </c>
      <c r="F769" s="18" t="str">
        <f aca="false">IF($A769="","",IFERROR(IF(INDEX(tblOrtak[Ortak Adı],ROW($A769)-ROW(tblOrtak[[#Headers],[Tarih]])-1)=$B769,INDEX(tblOrtak[Bakiye (₺)],ROW($A769)-ROW(tblOrtak[[#Headers],[Tarih]])-1)+$E769,$E769),$E769))</f>
        <v/>
      </c>
      <c r="G769" s="19" t="str">
        <f aca="false">IF($A769="","",IFERROR(IF(INDEX(tblOrtak[Tarih],ROW($A769)-ROW(tblOrtak[[#Headers],[Tarih]])+1)=0,RaporTarihi,INDEX(tblOrtak[Tarih],ROW($A769)-ROW(tblOrtak[[#Headers],[Tarih]])+1))-$A769,RaporTarihi-$A769))</f>
        <v/>
      </c>
      <c r="H769" s="18" t="n">
        <f aca="false">IF($F769="",0,ROUND($F769*$G769,0))</f>
        <v>0</v>
      </c>
      <c r="I769" s="18" t="n">
        <f aca="false">IF($H769="",0,ROUND($H769*AdatFaizOran/AdatYilGunSayisi,2))</f>
        <v>0</v>
      </c>
      <c r="J769" s="22"/>
    </row>
    <row r="770" customFormat="false" ht="15" hidden="false" customHeight="false" outlineLevel="0" collapsed="false">
      <c r="A770" s="21"/>
      <c r="B770" s="22"/>
      <c r="C770" s="22"/>
      <c r="D770" s="23"/>
      <c r="E770" s="20" t="str">
        <f aca="false">IF($A770="","",IF($C770="Borç",-$D770,$D770))</f>
        <v/>
      </c>
      <c r="F770" s="18" t="str">
        <f aca="false">IF($A770="","",IFERROR(IF(INDEX(tblOrtak[Ortak Adı],ROW($A770)-ROW(tblOrtak[[#Headers],[Tarih]])-1)=$B770,INDEX(tblOrtak[Bakiye (₺)],ROW($A770)-ROW(tblOrtak[[#Headers],[Tarih]])-1)+$E770,$E770),$E770))</f>
        <v/>
      </c>
      <c r="G770" s="19" t="str">
        <f aca="false">IF($A770="","",IFERROR(IF(INDEX(tblOrtak[Tarih],ROW($A770)-ROW(tblOrtak[[#Headers],[Tarih]])+1)=0,RaporTarihi,INDEX(tblOrtak[Tarih],ROW($A770)-ROW(tblOrtak[[#Headers],[Tarih]])+1))-$A770,RaporTarihi-$A770))</f>
        <v/>
      </c>
      <c r="H770" s="18" t="n">
        <f aca="false">IF($F770="",0,ROUND($F770*$G770,0))</f>
        <v>0</v>
      </c>
      <c r="I770" s="18" t="n">
        <f aca="false">IF($H770="",0,ROUND($H770*AdatFaizOran/AdatYilGunSayisi,2))</f>
        <v>0</v>
      </c>
      <c r="J770" s="22"/>
    </row>
    <row r="771" customFormat="false" ht="15" hidden="false" customHeight="false" outlineLevel="0" collapsed="false">
      <c r="A771" s="21"/>
      <c r="B771" s="22"/>
      <c r="C771" s="22"/>
      <c r="D771" s="23"/>
      <c r="E771" s="20" t="str">
        <f aca="false">IF($A771="","",IF($C771="Borç",-$D771,$D771))</f>
        <v/>
      </c>
      <c r="F771" s="18" t="str">
        <f aca="false">IF($A771="","",IFERROR(IF(INDEX(tblOrtak[Ortak Adı],ROW($A771)-ROW(tblOrtak[[#Headers],[Tarih]])-1)=$B771,INDEX(tblOrtak[Bakiye (₺)],ROW($A771)-ROW(tblOrtak[[#Headers],[Tarih]])-1)+$E771,$E771),$E771))</f>
        <v/>
      </c>
      <c r="G771" s="19" t="str">
        <f aca="false">IF($A771="","",IFERROR(IF(INDEX(tblOrtak[Tarih],ROW($A771)-ROW(tblOrtak[[#Headers],[Tarih]])+1)=0,RaporTarihi,INDEX(tblOrtak[Tarih],ROW($A771)-ROW(tblOrtak[[#Headers],[Tarih]])+1))-$A771,RaporTarihi-$A771))</f>
        <v/>
      </c>
      <c r="H771" s="18" t="n">
        <f aca="false">IF($F771="",0,ROUND($F771*$G771,0))</f>
        <v>0</v>
      </c>
      <c r="I771" s="18" t="n">
        <f aca="false">IF($H771="",0,ROUND($H771*AdatFaizOran/AdatYilGunSayisi,2))</f>
        <v>0</v>
      </c>
      <c r="J771" s="22"/>
    </row>
    <row r="772" customFormat="false" ht="15" hidden="false" customHeight="false" outlineLevel="0" collapsed="false">
      <c r="A772" s="21"/>
      <c r="B772" s="22"/>
      <c r="C772" s="22"/>
      <c r="D772" s="23"/>
      <c r="E772" s="20" t="str">
        <f aca="false">IF($A772="","",IF($C772="Borç",-$D772,$D772))</f>
        <v/>
      </c>
      <c r="F772" s="18" t="str">
        <f aca="false">IF($A772="","",IFERROR(IF(INDEX(tblOrtak[Ortak Adı],ROW($A772)-ROW(tblOrtak[[#Headers],[Tarih]])-1)=$B772,INDEX(tblOrtak[Bakiye (₺)],ROW($A772)-ROW(tblOrtak[[#Headers],[Tarih]])-1)+$E772,$E772),$E772))</f>
        <v/>
      </c>
      <c r="G772" s="19" t="str">
        <f aca="false">IF($A772="","",IFERROR(IF(INDEX(tblOrtak[Tarih],ROW($A772)-ROW(tblOrtak[[#Headers],[Tarih]])+1)=0,RaporTarihi,INDEX(tblOrtak[Tarih],ROW($A772)-ROW(tblOrtak[[#Headers],[Tarih]])+1))-$A772,RaporTarihi-$A772))</f>
        <v/>
      </c>
      <c r="H772" s="18" t="n">
        <f aca="false">IF($F772="",0,ROUND($F772*$G772,0))</f>
        <v>0</v>
      </c>
      <c r="I772" s="18" t="n">
        <f aca="false">IF($H772="",0,ROUND($H772*AdatFaizOran/AdatYilGunSayisi,2))</f>
        <v>0</v>
      </c>
      <c r="J772" s="22"/>
    </row>
    <row r="773" customFormat="false" ht="15" hidden="false" customHeight="false" outlineLevel="0" collapsed="false">
      <c r="A773" s="21"/>
      <c r="B773" s="22"/>
      <c r="C773" s="22"/>
      <c r="D773" s="23"/>
      <c r="E773" s="20" t="str">
        <f aca="false">IF($A773="","",IF($C773="Borç",-$D773,$D773))</f>
        <v/>
      </c>
      <c r="F773" s="18" t="str">
        <f aca="false">IF($A773="","",IFERROR(IF(INDEX(tblOrtak[Ortak Adı],ROW($A773)-ROW(tblOrtak[[#Headers],[Tarih]])-1)=$B773,INDEX(tblOrtak[Bakiye (₺)],ROW($A773)-ROW(tblOrtak[[#Headers],[Tarih]])-1)+$E773,$E773),$E773))</f>
        <v/>
      </c>
      <c r="G773" s="19" t="str">
        <f aca="false">IF($A773="","",IFERROR(IF(INDEX(tblOrtak[Tarih],ROW($A773)-ROW(tblOrtak[[#Headers],[Tarih]])+1)=0,RaporTarihi,INDEX(tblOrtak[Tarih],ROW($A773)-ROW(tblOrtak[[#Headers],[Tarih]])+1))-$A773,RaporTarihi-$A773))</f>
        <v/>
      </c>
      <c r="H773" s="18" t="n">
        <f aca="false">IF($F773="",0,ROUND($F773*$G773,0))</f>
        <v>0</v>
      </c>
      <c r="I773" s="18" t="n">
        <f aca="false">IF($H773="",0,ROUND($H773*AdatFaizOran/AdatYilGunSayisi,2))</f>
        <v>0</v>
      </c>
      <c r="J773" s="22"/>
    </row>
    <row r="774" customFormat="false" ht="15" hidden="false" customHeight="false" outlineLevel="0" collapsed="false">
      <c r="A774" s="21"/>
      <c r="B774" s="22"/>
      <c r="C774" s="22"/>
      <c r="D774" s="23"/>
      <c r="E774" s="20" t="str">
        <f aca="false">IF($A774="","",IF($C774="Borç",-$D774,$D774))</f>
        <v/>
      </c>
      <c r="F774" s="18" t="str">
        <f aca="false">IF($A774="","",IFERROR(IF(INDEX(tblOrtak[Ortak Adı],ROW($A774)-ROW(tblOrtak[[#Headers],[Tarih]])-1)=$B774,INDEX(tblOrtak[Bakiye (₺)],ROW($A774)-ROW(tblOrtak[[#Headers],[Tarih]])-1)+$E774,$E774),$E774))</f>
        <v/>
      </c>
      <c r="G774" s="19" t="str">
        <f aca="false">IF($A774="","",IFERROR(IF(INDEX(tblOrtak[Tarih],ROW($A774)-ROW(tblOrtak[[#Headers],[Tarih]])+1)=0,RaporTarihi,INDEX(tblOrtak[Tarih],ROW($A774)-ROW(tblOrtak[[#Headers],[Tarih]])+1))-$A774,RaporTarihi-$A774))</f>
        <v/>
      </c>
      <c r="H774" s="18" t="n">
        <f aca="false">IF($F774="",0,ROUND($F774*$G774,0))</f>
        <v>0</v>
      </c>
      <c r="I774" s="18" t="n">
        <f aca="false">IF($H774="",0,ROUND($H774*AdatFaizOran/AdatYilGunSayisi,2))</f>
        <v>0</v>
      </c>
      <c r="J774" s="22"/>
    </row>
    <row r="775" customFormat="false" ht="15" hidden="false" customHeight="false" outlineLevel="0" collapsed="false">
      <c r="A775" s="21"/>
      <c r="B775" s="22"/>
      <c r="C775" s="22"/>
      <c r="D775" s="23"/>
      <c r="E775" s="20" t="str">
        <f aca="false">IF($A775="","",IF($C775="Borç",-$D775,$D775))</f>
        <v/>
      </c>
      <c r="F775" s="18" t="str">
        <f aca="false">IF($A775="","",IFERROR(IF(INDEX(tblOrtak[Ortak Adı],ROW($A775)-ROW(tblOrtak[[#Headers],[Tarih]])-1)=$B775,INDEX(tblOrtak[Bakiye (₺)],ROW($A775)-ROW(tblOrtak[[#Headers],[Tarih]])-1)+$E775,$E775),$E775))</f>
        <v/>
      </c>
      <c r="G775" s="19" t="str">
        <f aca="false">IF($A775="","",IFERROR(IF(INDEX(tblOrtak[Tarih],ROW($A775)-ROW(tblOrtak[[#Headers],[Tarih]])+1)=0,RaporTarihi,INDEX(tblOrtak[Tarih],ROW($A775)-ROW(tblOrtak[[#Headers],[Tarih]])+1))-$A775,RaporTarihi-$A775))</f>
        <v/>
      </c>
      <c r="H775" s="18" t="n">
        <f aca="false">IF($F775="",0,ROUND($F775*$G775,0))</f>
        <v>0</v>
      </c>
      <c r="I775" s="18" t="n">
        <f aca="false">IF($H775="",0,ROUND($H775*AdatFaizOran/AdatYilGunSayisi,2))</f>
        <v>0</v>
      </c>
      <c r="J775" s="22"/>
    </row>
    <row r="776" customFormat="false" ht="15" hidden="false" customHeight="false" outlineLevel="0" collapsed="false">
      <c r="A776" s="21"/>
      <c r="B776" s="22"/>
      <c r="C776" s="22"/>
      <c r="D776" s="23"/>
      <c r="E776" s="20" t="str">
        <f aca="false">IF($A776="","",IF($C776="Borç",-$D776,$D776))</f>
        <v/>
      </c>
      <c r="F776" s="18" t="str">
        <f aca="false">IF($A776="","",IFERROR(IF(INDEX(tblOrtak[Ortak Adı],ROW($A776)-ROW(tblOrtak[[#Headers],[Tarih]])-1)=$B776,INDEX(tblOrtak[Bakiye (₺)],ROW($A776)-ROW(tblOrtak[[#Headers],[Tarih]])-1)+$E776,$E776),$E776))</f>
        <v/>
      </c>
      <c r="G776" s="19" t="str">
        <f aca="false">IF($A776="","",IFERROR(IF(INDEX(tblOrtak[Tarih],ROW($A776)-ROW(tblOrtak[[#Headers],[Tarih]])+1)=0,RaporTarihi,INDEX(tblOrtak[Tarih],ROW($A776)-ROW(tblOrtak[[#Headers],[Tarih]])+1))-$A776,RaporTarihi-$A776))</f>
        <v/>
      </c>
      <c r="H776" s="18" t="n">
        <f aca="false">IF($F776="",0,ROUND($F776*$G776,0))</f>
        <v>0</v>
      </c>
      <c r="I776" s="18" t="n">
        <f aca="false">IF($H776="",0,ROUND($H776*AdatFaizOran/AdatYilGunSayisi,2))</f>
        <v>0</v>
      </c>
      <c r="J776" s="22"/>
    </row>
    <row r="777" customFormat="false" ht="15" hidden="false" customHeight="false" outlineLevel="0" collapsed="false">
      <c r="A777" s="21"/>
      <c r="B777" s="22"/>
      <c r="C777" s="22"/>
      <c r="D777" s="23"/>
      <c r="E777" s="20" t="str">
        <f aca="false">IF($A777="","",IF($C777="Borç",-$D777,$D777))</f>
        <v/>
      </c>
      <c r="F777" s="18" t="str">
        <f aca="false">IF($A777="","",IFERROR(IF(INDEX(tblOrtak[Ortak Adı],ROW($A777)-ROW(tblOrtak[[#Headers],[Tarih]])-1)=$B777,INDEX(tblOrtak[Bakiye (₺)],ROW($A777)-ROW(tblOrtak[[#Headers],[Tarih]])-1)+$E777,$E777),$E777))</f>
        <v/>
      </c>
      <c r="G777" s="19" t="str">
        <f aca="false">IF($A777="","",IFERROR(IF(INDEX(tblOrtak[Tarih],ROW($A777)-ROW(tblOrtak[[#Headers],[Tarih]])+1)=0,RaporTarihi,INDEX(tblOrtak[Tarih],ROW($A777)-ROW(tblOrtak[[#Headers],[Tarih]])+1))-$A777,RaporTarihi-$A777))</f>
        <v/>
      </c>
      <c r="H777" s="18" t="n">
        <f aca="false">IF($F777="",0,ROUND($F777*$G777,0))</f>
        <v>0</v>
      </c>
      <c r="I777" s="18" t="n">
        <f aca="false">IF($H777="",0,ROUND($H777*AdatFaizOran/AdatYilGunSayisi,2))</f>
        <v>0</v>
      </c>
      <c r="J777" s="22"/>
    </row>
    <row r="778" customFormat="false" ht="15" hidden="false" customHeight="false" outlineLevel="0" collapsed="false">
      <c r="A778" s="21"/>
      <c r="B778" s="22"/>
      <c r="C778" s="22"/>
      <c r="D778" s="23"/>
      <c r="E778" s="20" t="str">
        <f aca="false">IF($A778="","",IF($C778="Borç",-$D778,$D778))</f>
        <v/>
      </c>
      <c r="F778" s="18" t="str">
        <f aca="false">IF($A778="","",IFERROR(IF(INDEX(tblOrtak[Ortak Adı],ROW($A778)-ROW(tblOrtak[[#Headers],[Tarih]])-1)=$B778,INDEX(tblOrtak[Bakiye (₺)],ROW($A778)-ROW(tblOrtak[[#Headers],[Tarih]])-1)+$E778,$E778),$E778))</f>
        <v/>
      </c>
      <c r="G778" s="19" t="str">
        <f aca="false">IF($A778="","",IFERROR(IF(INDEX(tblOrtak[Tarih],ROW($A778)-ROW(tblOrtak[[#Headers],[Tarih]])+1)=0,RaporTarihi,INDEX(tblOrtak[Tarih],ROW($A778)-ROW(tblOrtak[[#Headers],[Tarih]])+1))-$A778,RaporTarihi-$A778))</f>
        <v/>
      </c>
      <c r="H778" s="18" t="n">
        <f aca="false">IF($F778="",0,ROUND($F778*$G778,0))</f>
        <v>0</v>
      </c>
      <c r="I778" s="18" t="n">
        <f aca="false">IF($H778="",0,ROUND($H778*AdatFaizOran/AdatYilGunSayisi,2))</f>
        <v>0</v>
      </c>
      <c r="J778" s="22"/>
    </row>
    <row r="779" customFormat="false" ht="15" hidden="false" customHeight="false" outlineLevel="0" collapsed="false">
      <c r="A779" s="21"/>
      <c r="B779" s="22"/>
      <c r="C779" s="22"/>
      <c r="D779" s="23"/>
      <c r="E779" s="20" t="str">
        <f aca="false">IF($A779="","",IF($C779="Borç",-$D779,$D779))</f>
        <v/>
      </c>
      <c r="F779" s="18" t="str">
        <f aca="false">IF($A779="","",IFERROR(IF(INDEX(tblOrtak[Ortak Adı],ROW($A779)-ROW(tblOrtak[[#Headers],[Tarih]])-1)=$B779,INDEX(tblOrtak[Bakiye (₺)],ROW($A779)-ROW(tblOrtak[[#Headers],[Tarih]])-1)+$E779,$E779),$E779))</f>
        <v/>
      </c>
      <c r="G779" s="19" t="str">
        <f aca="false">IF($A779="","",IFERROR(IF(INDEX(tblOrtak[Tarih],ROW($A779)-ROW(tblOrtak[[#Headers],[Tarih]])+1)=0,RaporTarihi,INDEX(tblOrtak[Tarih],ROW($A779)-ROW(tblOrtak[[#Headers],[Tarih]])+1))-$A779,RaporTarihi-$A779))</f>
        <v/>
      </c>
      <c r="H779" s="18" t="n">
        <f aca="false">IF($F779="",0,ROUND($F779*$G779,0))</f>
        <v>0</v>
      </c>
      <c r="I779" s="18" t="n">
        <f aca="false">IF($H779="",0,ROUND($H779*AdatFaizOran/AdatYilGunSayisi,2))</f>
        <v>0</v>
      </c>
      <c r="J779" s="22"/>
    </row>
    <row r="780" customFormat="false" ht="15" hidden="false" customHeight="false" outlineLevel="0" collapsed="false">
      <c r="A780" s="21"/>
      <c r="B780" s="22"/>
      <c r="C780" s="22"/>
      <c r="D780" s="23"/>
      <c r="E780" s="20" t="str">
        <f aca="false">IF($A780="","",IF($C780="Borç",-$D780,$D780))</f>
        <v/>
      </c>
      <c r="F780" s="18" t="str">
        <f aca="false">IF($A780="","",IFERROR(IF(INDEX(tblOrtak[Ortak Adı],ROW($A780)-ROW(tblOrtak[[#Headers],[Tarih]])-1)=$B780,INDEX(tblOrtak[Bakiye (₺)],ROW($A780)-ROW(tblOrtak[[#Headers],[Tarih]])-1)+$E780,$E780),$E780))</f>
        <v/>
      </c>
      <c r="G780" s="19" t="str">
        <f aca="false">IF($A780="","",IFERROR(IF(INDEX(tblOrtak[Tarih],ROW($A780)-ROW(tblOrtak[[#Headers],[Tarih]])+1)=0,RaporTarihi,INDEX(tblOrtak[Tarih],ROW($A780)-ROW(tblOrtak[[#Headers],[Tarih]])+1))-$A780,RaporTarihi-$A780))</f>
        <v/>
      </c>
      <c r="H780" s="18" t="n">
        <f aca="false">IF($F780="",0,ROUND($F780*$G780,0))</f>
        <v>0</v>
      </c>
      <c r="I780" s="18" t="n">
        <f aca="false">IF($H780="",0,ROUND($H780*AdatFaizOran/AdatYilGunSayisi,2))</f>
        <v>0</v>
      </c>
      <c r="J780" s="22"/>
    </row>
    <row r="781" customFormat="false" ht="15" hidden="false" customHeight="false" outlineLevel="0" collapsed="false">
      <c r="A781" s="21"/>
      <c r="B781" s="22"/>
      <c r="C781" s="22"/>
      <c r="D781" s="23"/>
      <c r="E781" s="20" t="str">
        <f aca="false">IF($A781="","",IF($C781="Borç",-$D781,$D781))</f>
        <v/>
      </c>
      <c r="F781" s="18" t="str">
        <f aca="false">IF($A781="","",IFERROR(IF(INDEX(tblOrtak[Ortak Adı],ROW($A781)-ROW(tblOrtak[[#Headers],[Tarih]])-1)=$B781,INDEX(tblOrtak[Bakiye (₺)],ROW($A781)-ROW(tblOrtak[[#Headers],[Tarih]])-1)+$E781,$E781),$E781))</f>
        <v/>
      </c>
      <c r="G781" s="19" t="str">
        <f aca="false">IF($A781="","",IFERROR(IF(INDEX(tblOrtak[Tarih],ROW($A781)-ROW(tblOrtak[[#Headers],[Tarih]])+1)=0,RaporTarihi,INDEX(tblOrtak[Tarih],ROW($A781)-ROW(tblOrtak[[#Headers],[Tarih]])+1))-$A781,RaporTarihi-$A781))</f>
        <v/>
      </c>
      <c r="H781" s="18" t="n">
        <f aca="false">IF($F781="",0,ROUND($F781*$G781,0))</f>
        <v>0</v>
      </c>
      <c r="I781" s="18" t="n">
        <f aca="false">IF($H781="",0,ROUND($H781*AdatFaizOran/AdatYilGunSayisi,2))</f>
        <v>0</v>
      </c>
      <c r="J781" s="22"/>
    </row>
    <row r="782" customFormat="false" ht="15" hidden="false" customHeight="false" outlineLevel="0" collapsed="false">
      <c r="A782" s="21"/>
      <c r="B782" s="22"/>
      <c r="C782" s="22"/>
      <c r="D782" s="23"/>
      <c r="E782" s="20" t="str">
        <f aca="false">IF($A782="","",IF($C782="Borç",-$D782,$D782))</f>
        <v/>
      </c>
      <c r="F782" s="18" t="str">
        <f aca="false">IF($A782="","",IFERROR(IF(INDEX(tblOrtak[Ortak Adı],ROW($A782)-ROW(tblOrtak[[#Headers],[Tarih]])-1)=$B782,INDEX(tblOrtak[Bakiye (₺)],ROW($A782)-ROW(tblOrtak[[#Headers],[Tarih]])-1)+$E782,$E782),$E782))</f>
        <v/>
      </c>
      <c r="G782" s="19" t="str">
        <f aca="false">IF($A782="","",IFERROR(IF(INDEX(tblOrtak[Tarih],ROW($A782)-ROW(tblOrtak[[#Headers],[Tarih]])+1)=0,RaporTarihi,INDEX(tblOrtak[Tarih],ROW($A782)-ROW(tblOrtak[[#Headers],[Tarih]])+1))-$A782,RaporTarihi-$A782))</f>
        <v/>
      </c>
      <c r="H782" s="18" t="n">
        <f aca="false">IF($F782="",0,ROUND($F782*$G782,0))</f>
        <v>0</v>
      </c>
      <c r="I782" s="18" t="n">
        <f aca="false">IF($H782="",0,ROUND($H782*AdatFaizOran/AdatYilGunSayisi,2))</f>
        <v>0</v>
      </c>
      <c r="J782" s="22"/>
    </row>
    <row r="783" customFormat="false" ht="15" hidden="false" customHeight="false" outlineLevel="0" collapsed="false">
      <c r="A783" s="21"/>
      <c r="B783" s="22"/>
      <c r="C783" s="22"/>
      <c r="D783" s="23"/>
      <c r="E783" s="20" t="str">
        <f aca="false">IF($A783="","",IF($C783="Borç",-$D783,$D783))</f>
        <v/>
      </c>
      <c r="F783" s="18" t="str">
        <f aca="false">IF($A783="","",IFERROR(IF(INDEX(tblOrtak[Ortak Adı],ROW($A783)-ROW(tblOrtak[[#Headers],[Tarih]])-1)=$B783,INDEX(tblOrtak[Bakiye (₺)],ROW($A783)-ROW(tblOrtak[[#Headers],[Tarih]])-1)+$E783,$E783),$E783))</f>
        <v/>
      </c>
      <c r="G783" s="19" t="str">
        <f aca="false">IF($A783="","",IFERROR(IF(INDEX(tblOrtak[Tarih],ROW($A783)-ROW(tblOrtak[[#Headers],[Tarih]])+1)=0,RaporTarihi,INDEX(tblOrtak[Tarih],ROW($A783)-ROW(tblOrtak[[#Headers],[Tarih]])+1))-$A783,RaporTarihi-$A783))</f>
        <v/>
      </c>
      <c r="H783" s="18" t="n">
        <f aca="false">IF($F783="",0,ROUND($F783*$G783,0))</f>
        <v>0</v>
      </c>
      <c r="I783" s="18" t="n">
        <f aca="false">IF($H783="",0,ROUND($H783*AdatFaizOran/AdatYilGunSayisi,2))</f>
        <v>0</v>
      </c>
      <c r="J783" s="22"/>
    </row>
    <row r="784" customFormat="false" ht="15" hidden="false" customHeight="false" outlineLevel="0" collapsed="false">
      <c r="A784" s="21"/>
      <c r="B784" s="22"/>
      <c r="C784" s="22"/>
      <c r="D784" s="23"/>
      <c r="E784" s="20" t="str">
        <f aca="false">IF($A784="","",IF($C784="Borç",-$D784,$D784))</f>
        <v/>
      </c>
      <c r="F784" s="18" t="str">
        <f aca="false">IF($A784="","",IFERROR(IF(INDEX(tblOrtak[Ortak Adı],ROW($A784)-ROW(tblOrtak[[#Headers],[Tarih]])-1)=$B784,INDEX(tblOrtak[Bakiye (₺)],ROW($A784)-ROW(tblOrtak[[#Headers],[Tarih]])-1)+$E784,$E784),$E784))</f>
        <v/>
      </c>
      <c r="G784" s="19" t="str">
        <f aca="false">IF($A784="","",IFERROR(IF(INDEX(tblOrtak[Tarih],ROW($A784)-ROW(tblOrtak[[#Headers],[Tarih]])+1)=0,RaporTarihi,INDEX(tblOrtak[Tarih],ROW($A784)-ROW(tblOrtak[[#Headers],[Tarih]])+1))-$A784,RaporTarihi-$A784))</f>
        <v/>
      </c>
      <c r="H784" s="18" t="n">
        <f aca="false">IF($F784="",0,ROUND($F784*$G784,0))</f>
        <v>0</v>
      </c>
      <c r="I784" s="18" t="n">
        <f aca="false">IF($H784="",0,ROUND($H784*AdatFaizOran/AdatYilGunSayisi,2))</f>
        <v>0</v>
      </c>
      <c r="J784" s="22"/>
    </row>
    <row r="785" customFormat="false" ht="15" hidden="false" customHeight="false" outlineLevel="0" collapsed="false">
      <c r="A785" s="21"/>
      <c r="B785" s="22"/>
      <c r="C785" s="22"/>
      <c r="D785" s="23"/>
      <c r="E785" s="20" t="str">
        <f aca="false">IF($A785="","",IF($C785="Borç",-$D785,$D785))</f>
        <v/>
      </c>
      <c r="F785" s="18" t="str">
        <f aca="false">IF($A785="","",IFERROR(IF(INDEX(tblOrtak[Ortak Adı],ROW($A785)-ROW(tblOrtak[[#Headers],[Tarih]])-1)=$B785,INDEX(tblOrtak[Bakiye (₺)],ROW($A785)-ROW(tblOrtak[[#Headers],[Tarih]])-1)+$E785,$E785),$E785))</f>
        <v/>
      </c>
      <c r="G785" s="19" t="str">
        <f aca="false">IF($A785="","",IFERROR(IF(INDEX(tblOrtak[Tarih],ROW($A785)-ROW(tblOrtak[[#Headers],[Tarih]])+1)=0,RaporTarihi,INDEX(tblOrtak[Tarih],ROW($A785)-ROW(tblOrtak[[#Headers],[Tarih]])+1))-$A785,RaporTarihi-$A785))</f>
        <v/>
      </c>
      <c r="H785" s="18" t="n">
        <f aca="false">IF($F785="",0,ROUND($F785*$G785,0))</f>
        <v>0</v>
      </c>
      <c r="I785" s="18" t="n">
        <f aca="false">IF($H785="",0,ROUND($H785*AdatFaizOran/AdatYilGunSayisi,2))</f>
        <v>0</v>
      </c>
      <c r="J785" s="22"/>
    </row>
    <row r="786" customFormat="false" ht="15" hidden="false" customHeight="false" outlineLevel="0" collapsed="false">
      <c r="A786" s="21"/>
      <c r="B786" s="22"/>
      <c r="C786" s="22"/>
      <c r="D786" s="23"/>
      <c r="E786" s="20" t="str">
        <f aca="false">IF($A786="","",IF($C786="Borç",-$D786,$D786))</f>
        <v/>
      </c>
      <c r="F786" s="18" t="str">
        <f aca="false">IF($A786="","",IFERROR(IF(INDEX(tblOrtak[Ortak Adı],ROW($A786)-ROW(tblOrtak[[#Headers],[Tarih]])-1)=$B786,INDEX(tblOrtak[Bakiye (₺)],ROW($A786)-ROW(tblOrtak[[#Headers],[Tarih]])-1)+$E786,$E786),$E786))</f>
        <v/>
      </c>
      <c r="G786" s="19" t="str">
        <f aca="false">IF($A786="","",IFERROR(IF(INDEX(tblOrtak[Tarih],ROW($A786)-ROW(tblOrtak[[#Headers],[Tarih]])+1)=0,RaporTarihi,INDEX(tblOrtak[Tarih],ROW($A786)-ROW(tblOrtak[[#Headers],[Tarih]])+1))-$A786,RaporTarihi-$A786))</f>
        <v/>
      </c>
      <c r="H786" s="18" t="n">
        <f aca="false">IF($F786="",0,ROUND($F786*$G786,0))</f>
        <v>0</v>
      </c>
      <c r="I786" s="18" t="n">
        <f aca="false">IF($H786="",0,ROUND($H786*AdatFaizOran/AdatYilGunSayisi,2))</f>
        <v>0</v>
      </c>
      <c r="J786" s="22"/>
    </row>
    <row r="787" customFormat="false" ht="15" hidden="false" customHeight="false" outlineLevel="0" collapsed="false">
      <c r="A787" s="21"/>
      <c r="B787" s="22"/>
      <c r="C787" s="22"/>
      <c r="D787" s="23"/>
      <c r="E787" s="20" t="str">
        <f aca="false">IF($A787="","",IF($C787="Borç",-$D787,$D787))</f>
        <v/>
      </c>
      <c r="F787" s="18" t="str">
        <f aca="false">IF($A787="","",IFERROR(IF(INDEX(tblOrtak[Ortak Adı],ROW($A787)-ROW(tblOrtak[[#Headers],[Tarih]])-1)=$B787,INDEX(tblOrtak[Bakiye (₺)],ROW($A787)-ROW(tblOrtak[[#Headers],[Tarih]])-1)+$E787,$E787),$E787))</f>
        <v/>
      </c>
      <c r="G787" s="19" t="str">
        <f aca="false">IF($A787="","",IFERROR(IF(INDEX(tblOrtak[Tarih],ROW($A787)-ROW(tblOrtak[[#Headers],[Tarih]])+1)=0,RaporTarihi,INDEX(tblOrtak[Tarih],ROW($A787)-ROW(tblOrtak[[#Headers],[Tarih]])+1))-$A787,RaporTarihi-$A787))</f>
        <v/>
      </c>
      <c r="H787" s="18" t="n">
        <f aca="false">IF($F787="",0,ROUND($F787*$G787,0))</f>
        <v>0</v>
      </c>
      <c r="I787" s="18" t="n">
        <f aca="false">IF($H787="",0,ROUND($H787*AdatFaizOran/AdatYilGunSayisi,2))</f>
        <v>0</v>
      </c>
      <c r="J787" s="22"/>
    </row>
    <row r="788" customFormat="false" ht="15" hidden="false" customHeight="false" outlineLevel="0" collapsed="false">
      <c r="A788" s="21"/>
      <c r="B788" s="22"/>
      <c r="C788" s="22"/>
      <c r="D788" s="23"/>
      <c r="E788" s="20" t="str">
        <f aca="false">IF($A788="","",IF($C788="Borç",-$D788,$D788))</f>
        <v/>
      </c>
      <c r="F788" s="18" t="str">
        <f aca="false">IF($A788="","",IFERROR(IF(INDEX(tblOrtak[Ortak Adı],ROW($A788)-ROW(tblOrtak[[#Headers],[Tarih]])-1)=$B788,INDEX(tblOrtak[Bakiye (₺)],ROW($A788)-ROW(tblOrtak[[#Headers],[Tarih]])-1)+$E788,$E788),$E788))</f>
        <v/>
      </c>
      <c r="G788" s="19" t="str">
        <f aca="false">IF($A788="","",IFERROR(IF(INDEX(tblOrtak[Tarih],ROW($A788)-ROW(tblOrtak[[#Headers],[Tarih]])+1)=0,RaporTarihi,INDEX(tblOrtak[Tarih],ROW($A788)-ROW(tblOrtak[[#Headers],[Tarih]])+1))-$A788,RaporTarihi-$A788))</f>
        <v/>
      </c>
      <c r="H788" s="18" t="n">
        <f aca="false">IF($F788="",0,ROUND($F788*$G788,0))</f>
        <v>0</v>
      </c>
      <c r="I788" s="18" t="n">
        <f aca="false">IF($H788="",0,ROUND($H788*AdatFaizOran/AdatYilGunSayisi,2))</f>
        <v>0</v>
      </c>
      <c r="J788" s="22"/>
    </row>
    <row r="789" customFormat="false" ht="15" hidden="false" customHeight="false" outlineLevel="0" collapsed="false">
      <c r="A789" s="21"/>
      <c r="B789" s="22"/>
      <c r="C789" s="22"/>
      <c r="D789" s="23"/>
      <c r="E789" s="20" t="str">
        <f aca="false">IF($A789="","",IF($C789="Borç",-$D789,$D789))</f>
        <v/>
      </c>
      <c r="F789" s="18" t="str">
        <f aca="false">IF($A789="","",IFERROR(IF(INDEX(tblOrtak[Ortak Adı],ROW($A789)-ROW(tblOrtak[[#Headers],[Tarih]])-1)=$B789,INDEX(tblOrtak[Bakiye (₺)],ROW($A789)-ROW(tblOrtak[[#Headers],[Tarih]])-1)+$E789,$E789),$E789))</f>
        <v/>
      </c>
      <c r="G789" s="19" t="str">
        <f aca="false">IF($A789="","",IFERROR(IF(INDEX(tblOrtak[Tarih],ROW($A789)-ROW(tblOrtak[[#Headers],[Tarih]])+1)=0,RaporTarihi,INDEX(tblOrtak[Tarih],ROW($A789)-ROW(tblOrtak[[#Headers],[Tarih]])+1))-$A789,RaporTarihi-$A789))</f>
        <v/>
      </c>
      <c r="H789" s="18" t="n">
        <f aca="false">IF($F789="",0,ROUND($F789*$G789,0))</f>
        <v>0</v>
      </c>
      <c r="I789" s="18" t="n">
        <f aca="false">IF($H789="",0,ROUND($H789*AdatFaizOran/AdatYilGunSayisi,2))</f>
        <v>0</v>
      </c>
      <c r="J789" s="22"/>
    </row>
    <row r="790" customFormat="false" ht="15" hidden="false" customHeight="false" outlineLevel="0" collapsed="false">
      <c r="A790" s="21"/>
      <c r="B790" s="22"/>
      <c r="C790" s="22"/>
      <c r="D790" s="23"/>
      <c r="E790" s="20" t="str">
        <f aca="false">IF($A790="","",IF($C790="Borç",-$D790,$D790))</f>
        <v/>
      </c>
      <c r="F790" s="18" t="str">
        <f aca="false">IF($A790="","",IFERROR(IF(INDEX(tblOrtak[Ortak Adı],ROW($A790)-ROW(tblOrtak[[#Headers],[Tarih]])-1)=$B790,INDEX(tblOrtak[Bakiye (₺)],ROW($A790)-ROW(tblOrtak[[#Headers],[Tarih]])-1)+$E790,$E790),$E790))</f>
        <v/>
      </c>
      <c r="G790" s="19" t="str">
        <f aca="false">IF($A790="","",IFERROR(IF(INDEX(tblOrtak[Tarih],ROW($A790)-ROW(tblOrtak[[#Headers],[Tarih]])+1)=0,RaporTarihi,INDEX(tblOrtak[Tarih],ROW($A790)-ROW(tblOrtak[[#Headers],[Tarih]])+1))-$A790,RaporTarihi-$A790))</f>
        <v/>
      </c>
      <c r="H790" s="18" t="n">
        <f aca="false">IF($F790="",0,ROUND($F790*$G790,0))</f>
        <v>0</v>
      </c>
      <c r="I790" s="18" t="n">
        <f aca="false">IF($H790="",0,ROUND($H790*AdatFaizOran/AdatYilGunSayisi,2))</f>
        <v>0</v>
      </c>
      <c r="J790" s="22"/>
    </row>
    <row r="791" customFormat="false" ht="15" hidden="false" customHeight="false" outlineLevel="0" collapsed="false">
      <c r="A791" s="21"/>
      <c r="B791" s="22"/>
      <c r="C791" s="22"/>
      <c r="D791" s="23"/>
      <c r="E791" s="20" t="str">
        <f aca="false">IF($A791="","",IF($C791="Borç",-$D791,$D791))</f>
        <v/>
      </c>
      <c r="F791" s="18" t="str">
        <f aca="false">IF($A791="","",IFERROR(IF(INDEX(tblOrtak[Ortak Adı],ROW($A791)-ROW(tblOrtak[[#Headers],[Tarih]])-1)=$B791,INDEX(tblOrtak[Bakiye (₺)],ROW($A791)-ROW(tblOrtak[[#Headers],[Tarih]])-1)+$E791,$E791),$E791))</f>
        <v/>
      </c>
      <c r="G791" s="19" t="str">
        <f aca="false">IF($A791="","",IFERROR(IF(INDEX(tblOrtak[Tarih],ROW($A791)-ROW(tblOrtak[[#Headers],[Tarih]])+1)=0,RaporTarihi,INDEX(tblOrtak[Tarih],ROW($A791)-ROW(tblOrtak[[#Headers],[Tarih]])+1))-$A791,RaporTarihi-$A791))</f>
        <v/>
      </c>
      <c r="H791" s="18" t="n">
        <f aca="false">IF($F791="",0,ROUND($F791*$G791,0))</f>
        <v>0</v>
      </c>
      <c r="I791" s="18" t="n">
        <f aca="false">IF($H791="",0,ROUND($H791*AdatFaizOran/AdatYilGunSayisi,2))</f>
        <v>0</v>
      </c>
      <c r="J791" s="22"/>
    </row>
    <row r="792" customFormat="false" ht="15" hidden="false" customHeight="false" outlineLevel="0" collapsed="false">
      <c r="A792" s="21"/>
      <c r="B792" s="22"/>
      <c r="C792" s="22"/>
      <c r="D792" s="23"/>
      <c r="E792" s="20" t="str">
        <f aca="false">IF($A792="","",IF($C792="Borç",-$D792,$D792))</f>
        <v/>
      </c>
      <c r="F792" s="18" t="str">
        <f aca="false">IF($A792="","",IFERROR(IF(INDEX(tblOrtak[Ortak Adı],ROW($A792)-ROW(tblOrtak[[#Headers],[Tarih]])-1)=$B792,INDEX(tblOrtak[Bakiye (₺)],ROW($A792)-ROW(tblOrtak[[#Headers],[Tarih]])-1)+$E792,$E792),$E792))</f>
        <v/>
      </c>
      <c r="G792" s="19" t="str">
        <f aca="false">IF($A792="","",IFERROR(IF(INDEX(tblOrtak[Tarih],ROW($A792)-ROW(tblOrtak[[#Headers],[Tarih]])+1)=0,RaporTarihi,INDEX(tblOrtak[Tarih],ROW($A792)-ROW(tblOrtak[[#Headers],[Tarih]])+1))-$A792,RaporTarihi-$A792))</f>
        <v/>
      </c>
      <c r="H792" s="18" t="n">
        <f aca="false">IF($F792="",0,ROUND($F792*$G792,0))</f>
        <v>0</v>
      </c>
      <c r="I792" s="18" t="n">
        <f aca="false">IF($H792="",0,ROUND($H792*AdatFaizOran/AdatYilGunSayisi,2))</f>
        <v>0</v>
      </c>
      <c r="J792" s="22"/>
    </row>
    <row r="793" customFormat="false" ht="15" hidden="false" customHeight="false" outlineLevel="0" collapsed="false">
      <c r="A793" s="21"/>
      <c r="B793" s="22"/>
      <c r="C793" s="22"/>
      <c r="D793" s="23"/>
      <c r="E793" s="20" t="str">
        <f aca="false">IF($A793="","",IF($C793="Borç",-$D793,$D793))</f>
        <v/>
      </c>
      <c r="F793" s="18" t="str">
        <f aca="false">IF($A793="","",IFERROR(IF(INDEX(tblOrtak[Ortak Adı],ROW($A793)-ROW(tblOrtak[[#Headers],[Tarih]])-1)=$B793,INDEX(tblOrtak[Bakiye (₺)],ROW($A793)-ROW(tblOrtak[[#Headers],[Tarih]])-1)+$E793,$E793),$E793))</f>
        <v/>
      </c>
      <c r="G793" s="19" t="str">
        <f aca="false">IF($A793="","",IFERROR(IF(INDEX(tblOrtak[Tarih],ROW($A793)-ROW(tblOrtak[[#Headers],[Tarih]])+1)=0,RaporTarihi,INDEX(tblOrtak[Tarih],ROW($A793)-ROW(tblOrtak[[#Headers],[Tarih]])+1))-$A793,RaporTarihi-$A793))</f>
        <v/>
      </c>
      <c r="H793" s="18" t="n">
        <f aca="false">IF($F793="",0,ROUND($F793*$G793,0))</f>
        <v>0</v>
      </c>
      <c r="I793" s="18" t="n">
        <f aca="false">IF($H793="",0,ROUND($H793*AdatFaizOran/AdatYilGunSayisi,2))</f>
        <v>0</v>
      </c>
      <c r="J793" s="22"/>
    </row>
    <row r="794" customFormat="false" ht="15" hidden="false" customHeight="false" outlineLevel="0" collapsed="false">
      <c r="A794" s="21"/>
      <c r="B794" s="22"/>
      <c r="C794" s="22"/>
      <c r="D794" s="23"/>
      <c r="E794" s="20" t="str">
        <f aca="false">IF($A794="","",IF($C794="Borç",-$D794,$D794))</f>
        <v/>
      </c>
      <c r="F794" s="18" t="str">
        <f aca="false">IF($A794="","",IFERROR(IF(INDEX(tblOrtak[Ortak Adı],ROW($A794)-ROW(tblOrtak[[#Headers],[Tarih]])-1)=$B794,INDEX(tblOrtak[Bakiye (₺)],ROW($A794)-ROW(tblOrtak[[#Headers],[Tarih]])-1)+$E794,$E794),$E794))</f>
        <v/>
      </c>
      <c r="G794" s="19" t="str">
        <f aca="false">IF($A794="","",IFERROR(IF(INDEX(tblOrtak[Tarih],ROW($A794)-ROW(tblOrtak[[#Headers],[Tarih]])+1)=0,RaporTarihi,INDEX(tblOrtak[Tarih],ROW($A794)-ROW(tblOrtak[[#Headers],[Tarih]])+1))-$A794,RaporTarihi-$A794))</f>
        <v/>
      </c>
      <c r="H794" s="18" t="n">
        <f aca="false">IF($F794="",0,ROUND($F794*$G794,0))</f>
        <v>0</v>
      </c>
      <c r="I794" s="18" t="n">
        <f aca="false">IF($H794="",0,ROUND($H794*AdatFaizOran/AdatYilGunSayisi,2))</f>
        <v>0</v>
      </c>
      <c r="J794" s="22"/>
    </row>
    <row r="795" customFormat="false" ht="15" hidden="false" customHeight="false" outlineLevel="0" collapsed="false">
      <c r="A795" s="21"/>
      <c r="B795" s="22"/>
      <c r="C795" s="22"/>
      <c r="D795" s="23"/>
      <c r="E795" s="20" t="str">
        <f aca="false">IF($A795="","",IF($C795="Borç",-$D795,$D795))</f>
        <v/>
      </c>
      <c r="F795" s="18" t="str">
        <f aca="false">IF($A795="","",IFERROR(IF(INDEX(tblOrtak[Ortak Adı],ROW($A795)-ROW(tblOrtak[[#Headers],[Tarih]])-1)=$B795,INDEX(tblOrtak[Bakiye (₺)],ROW($A795)-ROW(tblOrtak[[#Headers],[Tarih]])-1)+$E795,$E795),$E795))</f>
        <v/>
      </c>
      <c r="G795" s="19" t="str">
        <f aca="false">IF($A795="","",IFERROR(IF(INDEX(tblOrtak[Tarih],ROW($A795)-ROW(tblOrtak[[#Headers],[Tarih]])+1)=0,RaporTarihi,INDEX(tblOrtak[Tarih],ROW($A795)-ROW(tblOrtak[[#Headers],[Tarih]])+1))-$A795,RaporTarihi-$A795))</f>
        <v/>
      </c>
      <c r="H795" s="18" t="n">
        <f aca="false">IF($F795="",0,ROUND($F795*$G795,0))</f>
        <v>0</v>
      </c>
      <c r="I795" s="18" t="n">
        <f aca="false">IF($H795="",0,ROUND($H795*AdatFaizOran/AdatYilGunSayisi,2))</f>
        <v>0</v>
      </c>
      <c r="J795" s="22"/>
    </row>
    <row r="796" customFormat="false" ht="15" hidden="false" customHeight="false" outlineLevel="0" collapsed="false">
      <c r="A796" s="21"/>
      <c r="B796" s="22"/>
      <c r="C796" s="22"/>
      <c r="D796" s="23"/>
      <c r="E796" s="20" t="str">
        <f aca="false">IF($A796="","",IF($C796="Borç",-$D796,$D796))</f>
        <v/>
      </c>
      <c r="F796" s="18" t="str">
        <f aca="false">IF($A796="","",IFERROR(IF(INDEX(tblOrtak[Ortak Adı],ROW($A796)-ROW(tblOrtak[[#Headers],[Tarih]])-1)=$B796,INDEX(tblOrtak[Bakiye (₺)],ROW($A796)-ROW(tblOrtak[[#Headers],[Tarih]])-1)+$E796,$E796),$E796))</f>
        <v/>
      </c>
      <c r="G796" s="19" t="str">
        <f aca="false">IF($A796="","",IFERROR(IF(INDEX(tblOrtak[Tarih],ROW($A796)-ROW(tblOrtak[[#Headers],[Tarih]])+1)=0,RaporTarihi,INDEX(tblOrtak[Tarih],ROW($A796)-ROW(tblOrtak[[#Headers],[Tarih]])+1))-$A796,RaporTarihi-$A796))</f>
        <v/>
      </c>
      <c r="H796" s="18" t="n">
        <f aca="false">IF($F796="",0,ROUND($F796*$G796,0))</f>
        <v>0</v>
      </c>
      <c r="I796" s="18" t="n">
        <f aca="false">IF($H796="",0,ROUND($H796*AdatFaizOran/AdatYilGunSayisi,2))</f>
        <v>0</v>
      </c>
      <c r="J796" s="22"/>
    </row>
    <row r="797" customFormat="false" ht="15" hidden="false" customHeight="false" outlineLevel="0" collapsed="false">
      <c r="A797" s="21"/>
      <c r="B797" s="22"/>
      <c r="C797" s="22"/>
      <c r="D797" s="23"/>
      <c r="E797" s="20" t="str">
        <f aca="false">IF($A797="","",IF($C797="Borç",-$D797,$D797))</f>
        <v/>
      </c>
      <c r="F797" s="18" t="str">
        <f aca="false">IF($A797="","",IFERROR(IF(INDEX(tblOrtak[Ortak Adı],ROW($A797)-ROW(tblOrtak[[#Headers],[Tarih]])-1)=$B797,INDEX(tblOrtak[Bakiye (₺)],ROW($A797)-ROW(tblOrtak[[#Headers],[Tarih]])-1)+$E797,$E797),$E797))</f>
        <v/>
      </c>
      <c r="G797" s="19" t="str">
        <f aca="false">IF($A797="","",IFERROR(IF(INDEX(tblOrtak[Tarih],ROW($A797)-ROW(tblOrtak[[#Headers],[Tarih]])+1)=0,RaporTarihi,INDEX(tblOrtak[Tarih],ROW($A797)-ROW(tblOrtak[[#Headers],[Tarih]])+1))-$A797,RaporTarihi-$A797))</f>
        <v/>
      </c>
      <c r="H797" s="18" t="n">
        <f aca="false">IF($F797="",0,ROUND($F797*$G797,0))</f>
        <v>0</v>
      </c>
      <c r="I797" s="18" t="n">
        <f aca="false">IF($H797="",0,ROUND($H797*AdatFaizOran/AdatYilGunSayisi,2))</f>
        <v>0</v>
      </c>
      <c r="J797" s="22"/>
    </row>
    <row r="798" customFormat="false" ht="15" hidden="false" customHeight="false" outlineLevel="0" collapsed="false">
      <c r="A798" s="21"/>
      <c r="B798" s="22"/>
      <c r="C798" s="22"/>
      <c r="D798" s="23"/>
      <c r="E798" s="20" t="str">
        <f aca="false">IF($A798="","",IF($C798="Borç",-$D798,$D798))</f>
        <v/>
      </c>
      <c r="F798" s="18" t="str">
        <f aca="false">IF($A798="","",IFERROR(IF(INDEX(tblOrtak[Ortak Adı],ROW($A798)-ROW(tblOrtak[[#Headers],[Tarih]])-1)=$B798,INDEX(tblOrtak[Bakiye (₺)],ROW($A798)-ROW(tblOrtak[[#Headers],[Tarih]])-1)+$E798,$E798),$E798))</f>
        <v/>
      </c>
      <c r="G798" s="19" t="str">
        <f aca="false">IF($A798="","",IFERROR(IF(INDEX(tblOrtak[Tarih],ROW($A798)-ROW(tblOrtak[[#Headers],[Tarih]])+1)=0,RaporTarihi,INDEX(tblOrtak[Tarih],ROW($A798)-ROW(tblOrtak[[#Headers],[Tarih]])+1))-$A798,RaporTarihi-$A798))</f>
        <v/>
      </c>
      <c r="H798" s="18" t="n">
        <f aca="false">IF($F798="",0,ROUND($F798*$G798,0))</f>
        <v>0</v>
      </c>
      <c r="I798" s="18" t="n">
        <f aca="false">IF($H798="",0,ROUND($H798*AdatFaizOran/AdatYilGunSayisi,2))</f>
        <v>0</v>
      </c>
      <c r="J798" s="22"/>
    </row>
    <row r="799" customFormat="false" ht="15" hidden="false" customHeight="false" outlineLevel="0" collapsed="false">
      <c r="A799" s="21"/>
      <c r="B799" s="22"/>
      <c r="C799" s="22"/>
      <c r="D799" s="23"/>
      <c r="E799" s="20" t="str">
        <f aca="false">IF($A799="","",IF($C799="Borç",-$D799,$D799))</f>
        <v/>
      </c>
      <c r="F799" s="18" t="str">
        <f aca="false">IF($A799="","",IFERROR(IF(INDEX(tblOrtak[Ortak Adı],ROW($A799)-ROW(tblOrtak[[#Headers],[Tarih]])-1)=$B799,INDEX(tblOrtak[Bakiye (₺)],ROW($A799)-ROW(tblOrtak[[#Headers],[Tarih]])-1)+$E799,$E799),$E799))</f>
        <v/>
      </c>
      <c r="G799" s="19" t="str">
        <f aca="false">IF($A799="","",IFERROR(IF(INDEX(tblOrtak[Tarih],ROW($A799)-ROW(tblOrtak[[#Headers],[Tarih]])+1)=0,RaporTarihi,INDEX(tblOrtak[Tarih],ROW($A799)-ROW(tblOrtak[[#Headers],[Tarih]])+1))-$A799,RaporTarihi-$A799))</f>
        <v/>
      </c>
      <c r="H799" s="18" t="n">
        <f aca="false">IF($F799="",0,ROUND($F799*$G799,0))</f>
        <v>0</v>
      </c>
      <c r="I799" s="18" t="n">
        <f aca="false">IF($H799="",0,ROUND($H799*AdatFaizOran/AdatYilGunSayisi,2))</f>
        <v>0</v>
      </c>
      <c r="J799" s="22"/>
    </row>
    <row r="800" customFormat="false" ht="15" hidden="false" customHeight="false" outlineLevel="0" collapsed="false">
      <c r="A800" s="21"/>
      <c r="B800" s="22"/>
      <c r="C800" s="22"/>
      <c r="D800" s="23"/>
      <c r="E800" s="20" t="str">
        <f aca="false">IF($A800="","",IF($C800="Borç",-$D800,$D800))</f>
        <v/>
      </c>
      <c r="F800" s="18" t="str">
        <f aca="false">IF($A800="","",IFERROR(IF(INDEX(tblOrtak[Ortak Adı],ROW($A800)-ROW(tblOrtak[[#Headers],[Tarih]])-1)=$B800,INDEX(tblOrtak[Bakiye (₺)],ROW($A800)-ROW(tblOrtak[[#Headers],[Tarih]])-1)+$E800,$E800),$E800))</f>
        <v/>
      </c>
      <c r="G800" s="19" t="str">
        <f aca="false">IF($A800="","",IFERROR(IF(INDEX(tblOrtak[Tarih],ROW($A800)-ROW(tblOrtak[[#Headers],[Tarih]])+1)=0,RaporTarihi,INDEX(tblOrtak[Tarih],ROW($A800)-ROW(tblOrtak[[#Headers],[Tarih]])+1))-$A800,RaporTarihi-$A800))</f>
        <v/>
      </c>
      <c r="H800" s="18" t="n">
        <f aca="false">IF($F800="",0,ROUND($F800*$G800,0))</f>
        <v>0</v>
      </c>
      <c r="I800" s="18" t="n">
        <f aca="false">IF($H800="",0,ROUND($H800*AdatFaizOran/AdatYilGunSayisi,2))</f>
        <v>0</v>
      </c>
      <c r="J800" s="22"/>
    </row>
    <row r="801" customFormat="false" ht="15" hidden="false" customHeight="false" outlineLevel="0" collapsed="false">
      <c r="A801" s="21"/>
      <c r="B801" s="22"/>
      <c r="C801" s="22"/>
      <c r="D801" s="23"/>
      <c r="E801" s="20" t="str">
        <f aca="false">IF($A801="","",IF($C801="Borç",-$D801,$D801))</f>
        <v/>
      </c>
      <c r="F801" s="18" t="str">
        <f aca="false">IF($A801="","",IFERROR(IF(INDEX(tblOrtak[Ortak Adı],ROW($A801)-ROW(tblOrtak[[#Headers],[Tarih]])-1)=$B801,INDEX(tblOrtak[Bakiye (₺)],ROW($A801)-ROW(tblOrtak[[#Headers],[Tarih]])-1)+$E801,$E801),$E801))</f>
        <v/>
      </c>
      <c r="G801" s="19" t="str">
        <f aca="false">IF($A801="","",IFERROR(IF(INDEX(tblOrtak[Tarih],ROW($A801)-ROW(tblOrtak[[#Headers],[Tarih]])+1)=0,RaporTarihi,INDEX(tblOrtak[Tarih],ROW($A801)-ROW(tblOrtak[[#Headers],[Tarih]])+1))-$A801,RaporTarihi-$A801))</f>
        <v/>
      </c>
      <c r="H801" s="18" t="n">
        <f aca="false">IF($F801="",0,ROUND($F801*$G801,0))</f>
        <v>0</v>
      </c>
      <c r="I801" s="18" t="n">
        <f aca="false">IF($H801="",0,ROUND($H801*AdatFaizOran/AdatYilGunSayisi,2))</f>
        <v>0</v>
      </c>
      <c r="J801" s="22"/>
    </row>
    <row r="802" customFormat="false" ht="15" hidden="false" customHeight="false" outlineLevel="0" collapsed="false">
      <c r="A802" s="21"/>
      <c r="B802" s="22"/>
      <c r="C802" s="22"/>
      <c r="D802" s="23"/>
      <c r="E802" s="20" t="str">
        <f aca="false">IF($A802="","",IF($C802="Borç",-$D802,$D802))</f>
        <v/>
      </c>
      <c r="F802" s="18" t="str">
        <f aca="false">IF($A802="","",IFERROR(IF(INDEX(tblOrtak[Ortak Adı],ROW($A802)-ROW(tblOrtak[[#Headers],[Tarih]])-1)=$B802,INDEX(tblOrtak[Bakiye (₺)],ROW($A802)-ROW(tblOrtak[[#Headers],[Tarih]])-1)+$E802,$E802),$E802))</f>
        <v/>
      </c>
      <c r="G802" s="19" t="str">
        <f aca="false">IF($A802="","",IFERROR(IF(INDEX(tblOrtak[Tarih],ROW($A802)-ROW(tblOrtak[[#Headers],[Tarih]])+1)=0,RaporTarihi,INDEX(tblOrtak[Tarih],ROW($A802)-ROW(tblOrtak[[#Headers],[Tarih]])+1))-$A802,RaporTarihi-$A802))</f>
        <v/>
      </c>
      <c r="H802" s="18" t="n">
        <f aca="false">IF($F802="",0,ROUND($F802*$G802,0))</f>
        <v>0</v>
      </c>
      <c r="I802" s="18" t="n">
        <f aca="false">IF($H802="",0,ROUND($H802*AdatFaizOran/AdatYilGunSayisi,2))</f>
        <v>0</v>
      </c>
      <c r="J802" s="22"/>
    </row>
    <row r="803" customFormat="false" ht="15" hidden="false" customHeight="false" outlineLevel="0" collapsed="false">
      <c r="A803" s="21"/>
      <c r="B803" s="22"/>
      <c r="C803" s="22"/>
      <c r="D803" s="23"/>
      <c r="E803" s="20" t="str">
        <f aca="false">IF($A803="","",IF($C803="Borç",-$D803,$D803))</f>
        <v/>
      </c>
      <c r="F803" s="18" t="str">
        <f aca="false">IF($A803="","",IFERROR(IF(INDEX(tblOrtak[Ortak Adı],ROW($A803)-ROW(tblOrtak[[#Headers],[Tarih]])-1)=$B803,INDEX(tblOrtak[Bakiye (₺)],ROW($A803)-ROW(tblOrtak[[#Headers],[Tarih]])-1)+$E803,$E803),$E803))</f>
        <v/>
      </c>
      <c r="G803" s="19" t="str">
        <f aca="false">IF($A803="","",IFERROR(IF(INDEX(tblOrtak[Tarih],ROW($A803)-ROW(tblOrtak[[#Headers],[Tarih]])+1)=0,RaporTarihi,INDEX(tblOrtak[Tarih],ROW($A803)-ROW(tblOrtak[[#Headers],[Tarih]])+1))-$A803,RaporTarihi-$A803))</f>
        <v/>
      </c>
      <c r="H803" s="18" t="n">
        <f aca="false">IF($F803="",0,ROUND($F803*$G803,0))</f>
        <v>0</v>
      </c>
      <c r="I803" s="18" t="n">
        <f aca="false">IF($H803="",0,ROUND($H803*AdatFaizOran/AdatYilGunSayisi,2))</f>
        <v>0</v>
      </c>
      <c r="J803" s="22"/>
    </row>
    <row r="804" customFormat="false" ht="15" hidden="false" customHeight="false" outlineLevel="0" collapsed="false">
      <c r="A804" s="21"/>
      <c r="B804" s="22"/>
      <c r="C804" s="22"/>
      <c r="D804" s="23"/>
      <c r="E804" s="20" t="str">
        <f aca="false">IF($A804="","",IF($C804="Borç",-$D804,$D804))</f>
        <v/>
      </c>
      <c r="F804" s="18" t="str">
        <f aca="false">IF($A804="","",IFERROR(IF(INDEX(tblOrtak[Ortak Adı],ROW($A804)-ROW(tblOrtak[[#Headers],[Tarih]])-1)=$B804,INDEX(tblOrtak[Bakiye (₺)],ROW($A804)-ROW(tblOrtak[[#Headers],[Tarih]])-1)+$E804,$E804),$E804))</f>
        <v/>
      </c>
      <c r="G804" s="19" t="str">
        <f aca="false">IF($A804="","",IFERROR(IF(INDEX(tblOrtak[Tarih],ROW($A804)-ROW(tblOrtak[[#Headers],[Tarih]])+1)=0,RaporTarihi,INDEX(tblOrtak[Tarih],ROW($A804)-ROW(tblOrtak[[#Headers],[Tarih]])+1))-$A804,RaporTarihi-$A804))</f>
        <v/>
      </c>
      <c r="H804" s="18" t="n">
        <f aca="false">IF($F804="",0,ROUND($F804*$G804,0))</f>
        <v>0</v>
      </c>
      <c r="I804" s="18" t="n">
        <f aca="false">IF($H804="",0,ROUND($H804*AdatFaizOran/AdatYilGunSayisi,2))</f>
        <v>0</v>
      </c>
      <c r="J804" s="22"/>
    </row>
    <row r="805" customFormat="false" ht="15" hidden="false" customHeight="false" outlineLevel="0" collapsed="false">
      <c r="A805" s="21"/>
      <c r="B805" s="22"/>
      <c r="C805" s="22"/>
      <c r="D805" s="23"/>
      <c r="E805" s="20" t="str">
        <f aca="false">IF($A805="","",IF($C805="Borç",-$D805,$D805))</f>
        <v/>
      </c>
      <c r="F805" s="18" t="str">
        <f aca="false">IF($A805="","",IFERROR(IF(INDEX(tblOrtak[Ortak Adı],ROW($A805)-ROW(tblOrtak[[#Headers],[Tarih]])-1)=$B805,INDEX(tblOrtak[Bakiye (₺)],ROW($A805)-ROW(tblOrtak[[#Headers],[Tarih]])-1)+$E805,$E805),$E805))</f>
        <v/>
      </c>
      <c r="G805" s="19" t="str">
        <f aca="false">IF($A805="","",IFERROR(IF(INDEX(tblOrtak[Tarih],ROW($A805)-ROW(tblOrtak[[#Headers],[Tarih]])+1)=0,RaporTarihi,INDEX(tblOrtak[Tarih],ROW($A805)-ROW(tblOrtak[[#Headers],[Tarih]])+1))-$A805,RaporTarihi-$A805))</f>
        <v/>
      </c>
      <c r="H805" s="18" t="n">
        <f aca="false">IF($F805="",0,ROUND($F805*$G805,0))</f>
        <v>0</v>
      </c>
      <c r="I805" s="18" t="n">
        <f aca="false">IF($H805="",0,ROUND($H805*AdatFaizOran/AdatYilGunSayisi,2))</f>
        <v>0</v>
      </c>
      <c r="J805" s="22"/>
    </row>
    <row r="806" customFormat="false" ht="15" hidden="false" customHeight="false" outlineLevel="0" collapsed="false">
      <c r="A806" s="21"/>
      <c r="B806" s="22"/>
      <c r="C806" s="22"/>
      <c r="D806" s="23"/>
      <c r="E806" s="20" t="str">
        <f aca="false">IF($A806="","",IF($C806="Borç",-$D806,$D806))</f>
        <v/>
      </c>
      <c r="F806" s="18" t="str">
        <f aca="false">IF($A806="","",IFERROR(IF(INDEX(tblOrtak[Ortak Adı],ROW($A806)-ROW(tblOrtak[[#Headers],[Tarih]])-1)=$B806,INDEX(tblOrtak[Bakiye (₺)],ROW($A806)-ROW(tblOrtak[[#Headers],[Tarih]])-1)+$E806,$E806),$E806))</f>
        <v/>
      </c>
      <c r="G806" s="19" t="str">
        <f aca="false">IF($A806="","",IFERROR(IF(INDEX(tblOrtak[Tarih],ROW($A806)-ROW(tblOrtak[[#Headers],[Tarih]])+1)=0,RaporTarihi,INDEX(tblOrtak[Tarih],ROW($A806)-ROW(tblOrtak[[#Headers],[Tarih]])+1))-$A806,RaporTarihi-$A806))</f>
        <v/>
      </c>
      <c r="H806" s="18" t="n">
        <f aca="false">IF($F806="",0,ROUND($F806*$G806,0))</f>
        <v>0</v>
      </c>
      <c r="I806" s="18" t="n">
        <f aca="false">IF($H806="",0,ROUND($H806*AdatFaizOran/AdatYilGunSayisi,2))</f>
        <v>0</v>
      </c>
      <c r="J806" s="22"/>
    </row>
    <row r="807" customFormat="false" ht="15" hidden="false" customHeight="false" outlineLevel="0" collapsed="false">
      <c r="A807" s="21"/>
      <c r="B807" s="22"/>
      <c r="C807" s="22"/>
      <c r="D807" s="23"/>
      <c r="E807" s="20" t="str">
        <f aca="false">IF($A807="","",IF($C807="Borç",-$D807,$D807))</f>
        <v/>
      </c>
      <c r="F807" s="18" t="str">
        <f aca="false">IF($A807="","",IFERROR(IF(INDEX(tblOrtak[Ortak Adı],ROW($A807)-ROW(tblOrtak[[#Headers],[Tarih]])-1)=$B807,INDEX(tblOrtak[Bakiye (₺)],ROW($A807)-ROW(tblOrtak[[#Headers],[Tarih]])-1)+$E807,$E807),$E807))</f>
        <v/>
      </c>
      <c r="G807" s="19" t="str">
        <f aca="false">IF($A807="","",IFERROR(IF(INDEX(tblOrtak[Tarih],ROW($A807)-ROW(tblOrtak[[#Headers],[Tarih]])+1)=0,RaporTarihi,INDEX(tblOrtak[Tarih],ROW($A807)-ROW(tblOrtak[[#Headers],[Tarih]])+1))-$A807,RaporTarihi-$A807))</f>
        <v/>
      </c>
      <c r="H807" s="18" t="n">
        <f aca="false">IF($F807="",0,ROUND($F807*$G807,0))</f>
        <v>0</v>
      </c>
      <c r="I807" s="18" t="n">
        <f aca="false">IF($H807="",0,ROUND($H807*AdatFaizOran/AdatYilGunSayisi,2))</f>
        <v>0</v>
      </c>
      <c r="J807" s="22"/>
    </row>
    <row r="808" customFormat="false" ht="15" hidden="false" customHeight="false" outlineLevel="0" collapsed="false">
      <c r="A808" s="21"/>
      <c r="B808" s="22"/>
      <c r="C808" s="22"/>
      <c r="D808" s="23"/>
      <c r="E808" s="20" t="str">
        <f aca="false">IF($A808="","",IF($C808="Borç",-$D808,$D808))</f>
        <v/>
      </c>
      <c r="F808" s="18" t="str">
        <f aca="false">IF($A808="","",IFERROR(IF(INDEX(tblOrtak[Ortak Adı],ROW($A808)-ROW(tblOrtak[[#Headers],[Tarih]])-1)=$B808,INDEX(tblOrtak[Bakiye (₺)],ROW($A808)-ROW(tblOrtak[[#Headers],[Tarih]])-1)+$E808,$E808),$E808))</f>
        <v/>
      </c>
      <c r="G808" s="19" t="str">
        <f aca="false">IF($A808="","",IFERROR(IF(INDEX(tblOrtak[Tarih],ROW($A808)-ROW(tblOrtak[[#Headers],[Tarih]])+1)=0,RaporTarihi,INDEX(tblOrtak[Tarih],ROW($A808)-ROW(tblOrtak[[#Headers],[Tarih]])+1))-$A808,RaporTarihi-$A808))</f>
        <v/>
      </c>
      <c r="H808" s="18" t="n">
        <f aca="false">IF($F808="",0,ROUND($F808*$G808,0))</f>
        <v>0</v>
      </c>
      <c r="I808" s="18" t="n">
        <f aca="false">IF($H808="",0,ROUND($H808*AdatFaizOran/AdatYilGunSayisi,2))</f>
        <v>0</v>
      </c>
      <c r="J808" s="22"/>
    </row>
    <row r="809" customFormat="false" ht="15" hidden="false" customHeight="false" outlineLevel="0" collapsed="false">
      <c r="A809" s="21"/>
      <c r="B809" s="22"/>
      <c r="C809" s="22"/>
      <c r="D809" s="23"/>
      <c r="E809" s="20" t="str">
        <f aca="false">IF($A809="","",IF($C809="Borç",-$D809,$D809))</f>
        <v/>
      </c>
      <c r="F809" s="18" t="str">
        <f aca="false">IF($A809="","",IFERROR(IF(INDEX(tblOrtak[Ortak Adı],ROW($A809)-ROW(tblOrtak[[#Headers],[Tarih]])-1)=$B809,INDEX(tblOrtak[Bakiye (₺)],ROW($A809)-ROW(tblOrtak[[#Headers],[Tarih]])-1)+$E809,$E809),$E809))</f>
        <v/>
      </c>
      <c r="G809" s="19" t="str">
        <f aca="false">IF($A809="","",IFERROR(IF(INDEX(tblOrtak[Tarih],ROW($A809)-ROW(tblOrtak[[#Headers],[Tarih]])+1)=0,RaporTarihi,INDEX(tblOrtak[Tarih],ROW($A809)-ROW(tblOrtak[[#Headers],[Tarih]])+1))-$A809,RaporTarihi-$A809))</f>
        <v/>
      </c>
      <c r="H809" s="18" t="n">
        <f aca="false">IF($F809="",0,ROUND($F809*$G809,0))</f>
        <v>0</v>
      </c>
      <c r="I809" s="18" t="n">
        <f aca="false">IF($H809="",0,ROUND($H809*AdatFaizOran/AdatYilGunSayisi,2))</f>
        <v>0</v>
      </c>
      <c r="J809" s="22"/>
    </row>
    <row r="810" customFormat="false" ht="15" hidden="false" customHeight="false" outlineLevel="0" collapsed="false">
      <c r="A810" s="21"/>
      <c r="B810" s="22"/>
      <c r="C810" s="22"/>
      <c r="D810" s="23"/>
      <c r="E810" s="20" t="str">
        <f aca="false">IF($A810="","",IF($C810="Borç",-$D810,$D810))</f>
        <v/>
      </c>
      <c r="F810" s="18" t="str">
        <f aca="false">IF($A810="","",IFERROR(IF(INDEX(tblOrtak[Ortak Adı],ROW($A810)-ROW(tblOrtak[[#Headers],[Tarih]])-1)=$B810,INDEX(tblOrtak[Bakiye (₺)],ROW($A810)-ROW(tblOrtak[[#Headers],[Tarih]])-1)+$E810,$E810),$E810))</f>
        <v/>
      </c>
      <c r="G810" s="19" t="str">
        <f aca="false">IF($A810="","",IFERROR(IF(INDEX(tblOrtak[Tarih],ROW($A810)-ROW(tblOrtak[[#Headers],[Tarih]])+1)=0,RaporTarihi,INDEX(tblOrtak[Tarih],ROW($A810)-ROW(tblOrtak[[#Headers],[Tarih]])+1))-$A810,RaporTarihi-$A810))</f>
        <v/>
      </c>
      <c r="H810" s="18" t="n">
        <f aca="false">IF($F810="",0,ROUND($F810*$G810,0))</f>
        <v>0</v>
      </c>
      <c r="I810" s="18" t="n">
        <f aca="false">IF($H810="",0,ROUND($H810*AdatFaizOran/AdatYilGunSayisi,2))</f>
        <v>0</v>
      </c>
      <c r="J810" s="22"/>
    </row>
    <row r="811" customFormat="false" ht="15" hidden="false" customHeight="false" outlineLevel="0" collapsed="false">
      <c r="A811" s="21"/>
      <c r="B811" s="22"/>
      <c r="C811" s="22"/>
      <c r="D811" s="23"/>
      <c r="E811" s="20" t="str">
        <f aca="false">IF($A811="","",IF($C811="Borç",-$D811,$D811))</f>
        <v/>
      </c>
      <c r="F811" s="18" t="str">
        <f aca="false">IF($A811="","",IFERROR(IF(INDEX(tblOrtak[Ortak Adı],ROW($A811)-ROW(tblOrtak[[#Headers],[Tarih]])-1)=$B811,INDEX(tblOrtak[Bakiye (₺)],ROW($A811)-ROW(tblOrtak[[#Headers],[Tarih]])-1)+$E811,$E811),$E811))</f>
        <v/>
      </c>
      <c r="G811" s="19" t="str">
        <f aca="false">IF($A811="","",IFERROR(IF(INDEX(tblOrtak[Tarih],ROW($A811)-ROW(tblOrtak[[#Headers],[Tarih]])+1)=0,RaporTarihi,INDEX(tblOrtak[Tarih],ROW($A811)-ROW(tblOrtak[[#Headers],[Tarih]])+1))-$A811,RaporTarihi-$A811))</f>
        <v/>
      </c>
      <c r="H811" s="18" t="n">
        <f aca="false">IF($F811="",0,ROUND($F811*$G811,0))</f>
        <v>0</v>
      </c>
      <c r="I811" s="18" t="n">
        <f aca="false">IF($H811="",0,ROUND($H811*AdatFaizOran/AdatYilGunSayisi,2))</f>
        <v>0</v>
      </c>
      <c r="J811" s="22"/>
    </row>
    <row r="812" customFormat="false" ht="15" hidden="false" customHeight="false" outlineLevel="0" collapsed="false">
      <c r="A812" s="21"/>
      <c r="B812" s="22"/>
      <c r="C812" s="22"/>
      <c r="D812" s="23"/>
      <c r="E812" s="20" t="str">
        <f aca="false">IF($A812="","",IF($C812="Borç",-$D812,$D812))</f>
        <v/>
      </c>
      <c r="F812" s="18" t="str">
        <f aca="false">IF($A812="","",IFERROR(IF(INDEX(tblOrtak[Ortak Adı],ROW($A812)-ROW(tblOrtak[[#Headers],[Tarih]])-1)=$B812,INDEX(tblOrtak[Bakiye (₺)],ROW($A812)-ROW(tblOrtak[[#Headers],[Tarih]])-1)+$E812,$E812),$E812))</f>
        <v/>
      </c>
      <c r="G812" s="19" t="str">
        <f aca="false">IF($A812="","",IFERROR(IF(INDEX(tblOrtak[Tarih],ROW($A812)-ROW(tblOrtak[[#Headers],[Tarih]])+1)=0,RaporTarihi,INDEX(tblOrtak[Tarih],ROW($A812)-ROW(tblOrtak[[#Headers],[Tarih]])+1))-$A812,RaporTarihi-$A812))</f>
        <v/>
      </c>
      <c r="H812" s="18" t="n">
        <f aca="false">IF($F812="",0,ROUND($F812*$G812,0))</f>
        <v>0</v>
      </c>
      <c r="I812" s="18" t="n">
        <f aca="false">IF($H812="",0,ROUND($H812*AdatFaizOran/AdatYilGunSayisi,2))</f>
        <v>0</v>
      </c>
      <c r="J812" s="22"/>
    </row>
    <row r="813" customFormat="false" ht="15" hidden="false" customHeight="false" outlineLevel="0" collapsed="false">
      <c r="A813" s="21"/>
      <c r="B813" s="22"/>
      <c r="C813" s="22"/>
      <c r="D813" s="23"/>
      <c r="E813" s="20" t="str">
        <f aca="false">IF($A813="","",IF($C813="Borç",-$D813,$D813))</f>
        <v/>
      </c>
      <c r="F813" s="18" t="str">
        <f aca="false">IF($A813="","",IFERROR(IF(INDEX(tblOrtak[Ortak Adı],ROW($A813)-ROW(tblOrtak[[#Headers],[Tarih]])-1)=$B813,INDEX(tblOrtak[Bakiye (₺)],ROW($A813)-ROW(tblOrtak[[#Headers],[Tarih]])-1)+$E813,$E813),$E813))</f>
        <v/>
      </c>
      <c r="G813" s="19" t="str">
        <f aca="false">IF($A813="","",IFERROR(IF(INDEX(tblOrtak[Tarih],ROW($A813)-ROW(tblOrtak[[#Headers],[Tarih]])+1)=0,RaporTarihi,INDEX(tblOrtak[Tarih],ROW($A813)-ROW(tblOrtak[[#Headers],[Tarih]])+1))-$A813,RaporTarihi-$A813))</f>
        <v/>
      </c>
      <c r="H813" s="18" t="n">
        <f aca="false">IF($F813="",0,ROUND($F813*$G813,0))</f>
        <v>0</v>
      </c>
      <c r="I813" s="18" t="n">
        <f aca="false">IF($H813="",0,ROUND($H813*AdatFaizOran/AdatYilGunSayisi,2))</f>
        <v>0</v>
      </c>
      <c r="J813" s="22"/>
    </row>
    <row r="814" customFormat="false" ht="15" hidden="false" customHeight="false" outlineLevel="0" collapsed="false">
      <c r="A814" s="21"/>
      <c r="B814" s="22"/>
      <c r="C814" s="22"/>
      <c r="D814" s="23"/>
      <c r="E814" s="20" t="str">
        <f aca="false">IF($A814="","",IF($C814="Borç",-$D814,$D814))</f>
        <v/>
      </c>
      <c r="F814" s="18" t="str">
        <f aca="false">IF($A814="","",IFERROR(IF(INDEX(tblOrtak[Ortak Adı],ROW($A814)-ROW(tblOrtak[[#Headers],[Tarih]])-1)=$B814,INDEX(tblOrtak[Bakiye (₺)],ROW($A814)-ROW(tblOrtak[[#Headers],[Tarih]])-1)+$E814,$E814),$E814))</f>
        <v/>
      </c>
      <c r="G814" s="19" t="str">
        <f aca="false">IF($A814="","",IFERROR(IF(INDEX(tblOrtak[Tarih],ROW($A814)-ROW(tblOrtak[[#Headers],[Tarih]])+1)=0,RaporTarihi,INDEX(tblOrtak[Tarih],ROW($A814)-ROW(tblOrtak[[#Headers],[Tarih]])+1))-$A814,RaporTarihi-$A814))</f>
        <v/>
      </c>
      <c r="H814" s="18" t="n">
        <f aca="false">IF($F814="",0,ROUND($F814*$G814,0))</f>
        <v>0</v>
      </c>
      <c r="I814" s="18" t="n">
        <f aca="false">IF($H814="",0,ROUND($H814*AdatFaizOran/AdatYilGunSayisi,2))</f>
        <v>0</v>
      </c>
      <c r="J814" s="22"/>
    </row>
    <row r="815" customFormat="false" ht="15" hidden="false" customHeight="false" outlineLevel="0" collapsed="false">
      <c r="A815" s="21"/>
      <c r="B815" s="22"/>
      <c r="C815" s="22"/>
      <c r="D815" s="23"/>
      <c r="E815" s="20" t="str">
        <f aca="false">IF($A815="","",IF($C815="Borç",-$D815,$D815))</f>
        <v/>
      </c>
      <c r="F815" s="18" t="str">
        <f aca="false">IF($A815="","",IFERROR(IF(INDEX(tblOrtak[Ortak Adı],ROW($A815)-ROW(tblOrtak[[#Headers],[Tarih]])-1)=$B815,INDEX(tblOrtak[Bakiye (₺)],ROW($A815)-ROW(tblOrtak[[#Headers],[Tarih]])-1)+$E815,$E815),$E815))</f>
        <v/>
      </c>
      <c r="G815" s="19" t="str">
        <f aca="false">IF($A815="","",IFERROR(IF(INDEX(tblOrtak[Tarih],ROW($A815)-ROW(tblOrtak[[#Headers],[Tarih]])+1)=0,RaporTarihi,INDEX(tblOrtak[Tarih],ROW($A815)-ROW(tblOrtak[[#Headers],[Tarih]])+1))-$A815,RaporTarihi-$A815))</f>
        <v/>
      </c>
      <c r="H815" s="18" t="n">
        <f aca="false">IF($F815="",0,ROUND($F815*$G815,0))</f>
        <v>0</v>
      </c>
      <c r="I815" s="18" t="n">
        <f aca="false">IF($H815="",0,ROUND($H815*AdatFaizOran/AdatYilGunSayisi,2))</f>
        <v>0</v>
      </c>
      <c r="J815" s="22"/>
    </row>
    <row r="816" customFormat="false" ht="15" hidden="false" customHeight="false" outlineLevel="0" collapsed="false">
      <c r="A816" s="21"/>
      <c r="B816" s="22"/>
      <c r="C816" s="22"/>
      <c r="D816" s="23"/>
      <c r="E816" s="20" t="str">
        <f aca="false">IF($A816="","",IF($C816="Borç",-$D816,$D816))</f>
        <v/>
      </c>
      <c r="F816" s="18" t="str">
        <f aca="false">IF($A816="","",IFERROR(IF(INDEX(tblOrtak[Ortak Adı],ROW($A816)-ROW(tblOrtak[[#Headers],[Tarih]])-1)=$B816,INDEX(tblOrtak[Bakiye (₺)],ROW($A816)-ROW(tblOrtak[[#Headers],[Tarih]])-1)+$E816,$E816),$E816))</f>
        <v/>
      </c>
      <c r="G816" s="19" t="str">
        <f aca="false">IF($A816="","",IFERROR(IF(INDEX(tblOrtak[Tarih],ROW($A816)-ROW(tblOrtak[[#Headers],[Tarih]])+1)=0,RaporTarihi,INDEX(tblOrtak[Tarih],ROW($A816)-ROW(tblOrtak[[#Headers],[Tarih]])+1))-$A816,RaporTarihi-$A816))</f>
        <v/>
      </c>
      <c r="H816" s="18" t="n">
        <f aca="false">IF($F816="",0,ROUND($F816*$G816,0))</f>
        <v>0</v>
      </c>
      <c r="I816" s="18" t="n">
        <f aca="false">IF($H816="",0,ROUND($H816*AdatFaizOran/AdatYilGunSayisi,2))</f>
        <v>0</v>
      </c>
      <c r="J816" s="22"/>
    </row>
    <row r="817" customFormat="false" ht="15" hidden="false" customHeight="false" outlineLevel="0" collapsed="false">
      <c r="A817" s="21"/>
      <c r="B817" s="22"/>
      <c r="C817" s="22"/>
      <c r="D817" s="23"/>
      <c r="E817" s="20" t="str">
        <f aca="false">IF($A817="","",IF($C817="Borç",-$D817,$D817))</f>
        <v/>
      </c>
      <c r="F817" s="18" t="str">
        <f aca="false">IF($A817="","",IFERROR(IF(INDEX(tblOrtak[Ortak Adı],ROW($A817)-ROW(tblOrtak[[#Headers],[Tarih]])-1)=$B817,INDEX(tblOrtak[Bakiye (₺)],ROW($A817)-ROW(tblOrtak[[#Headers],[Tarih]])-1)+$E817,$E817),$E817))</f>
        <v/>
      </c>
      <c r="G817" s="19" t="str">
        <f aca="false">IF($A817="","",IFERROR(IF(INDEX(tblOrtak[Tarih],ROW($A817)-ROW(tblOrtak[[#Headers],[Tarih]])+1)=0,RaporTarihi,INDEX(tblOrtak[Tarih],ROW($A817)-ROW(tblOrtak[[#Headers],[Tarih]])+1))-$A817,RaporTarihi-$A817))</f>
        <v/>
      </c>
      <c r="H817" s="18" t="n">
        <f aca="false">IF($F817="",0,ROUND($F817*$G817,0))</f>
        <v>0</v>
      </c>
      <c r="I817" s="18" t="n">
        <f aca="false">IF($H817="",0,ROUND($H817*AdatFaizOran/AdatYilGunSayisi,2))</f>
        <v>0</v>
      </c>
      <c r="J817" s="22"/>
    </row>
    <row r="818" customFormat="false" ht="15" hidden="false" customHeight="false" outlineLevel="0" collapsed="false">
      <c r="A818" s="21"/>
      <c r="B818" s="22"/>
      <c r="C818" s="22"/>
      <c r="D818" s="23"/>
      <c r="E818" s="20" t="str">
        <f aca="false">IF($A818="","",IF($C818="Borç",-$D818,$D818))</f>
        <v/>
      </c>
      <c r="F818" s="18" t="str">
        <f aca="false">IF($A818="","",IFERROR(IF(INDEX(tblOrtak[Ortak Adı],ROW($A818)-ROW(tblOrtak[[#Headers],[Tarih]])-1)=$B818,INDEX(tblOrtak[Bakiye (₺)],ROW($A818)-ROW(tblOrtak[[#Headers],[Tarih]])-1)+$E818,$E818),$E818))</f>
        <v/>
      </c>
      <c r="G818" s="19" t="str">
        <f aca="false">IF($A818="","",IFERROR(IF(INDEX(tblOrtak[Tarih],ROW($A818)-ROW(tblOrtak[[#Headers],[Tarih]])+1)=0,RaporTarihi,INDEX(tblOrtak[Tarih],ROW($A818)-ROW(tblOrtak[[#Headers],[Tarih]])+1))-$A818,RaporTarihi-$A818))</f>
        <v/>
      </c>
      <c r="H818" s="18" t="n">
        <f aca="false">IF($F818="",0,ROUND($F818*$G818,0))</f>
        <v>0</v>
      </c>
      <c r="I818" s="18" t="n">
        <f aca="false">IF($H818="",0,ROUND($H818*AdatFaizOran/AdatYilGunSayisi,2))</f>
        <v>0</v>
      </c>
      <c r="J818" s="22"/>
    </row>
    <row r="819" customFormat="false" ht="15" hidden="false" customHeight="false" outlineLevel="0" collapsed="false">
      <c r="A819" s="21"/>
      <c r="B819" s="22"/>
      <c r="C819" s="22"/>
      <c r="D819" s="23"/>
      <c r="E819" s="20" t="str">
        <f aca="false">IF($A819="","",IF($C819="Borç",-$D819,$D819))</f>
        <v/>
      </c>
      <c r="F819" s="18" t="str">
        <f aca="false">IF($A819="","",IFERROR(IF(INDEX(tblOrtak[Ortak Adı],ROW($A819)-ROW(tblOrtak[[#Headers],[Tarih]])-1)=$B819,INDEX(tblOrtak[Bakiye (₺)],ROW($A819)-ROW(tblOrtak[[#Headers],[Tarih]])-1)+$E819,$E819),$E819))</f>
        <v/>
      </c>
      <c r="G819" s="19" t="str">
        <f aca="false">IF($A819="","",IFERROR(IF(INDEX(tblOrtak[Tarih],ROW($A819)-ROW(tblOrtak[[#Headers],[Tarih]])+1)=0,RaporTarihi,INDEX(tblOrtak[Tarih],ROW($A819)-ROW(tblOrtak[[#Headers],[Tarih]])+1))-$A819,RaporTarihi-$A819))</f>
        <v/>
      </c>
      <c r="H819" s="18" t="n">
        <f aca="false">IF($F819="",0,ROUND($F819*$G819,0))</f>
        <v>0</v>
      </c>
      <c r="I819" s="18" t="n">
        <f aca="false">IF($H819="",0,ROUND($H819*AdatFaizOran/AdatYilGunSayisi,2))</f>
        <v>0</v>
      </c>
      <c r="J819" s="22"/>
    </row>
    <row r="820" customFormat="false" ht="15" hidden="false" customHeight="false" outlineLevel="0" collapsed="false">
      <c r="A820" s="21"/>
      <c r="B820" s="22"/>
      <c r="C820" s="22"/>
      <c r="D820" s="23"/>
      <c r="E820" s="20" t="str">
        <f aca="false">IF($A820="","",IF($C820="Borç",-$D820,$D820))</f>
        <v/>
      </c>
      <c r="F820" s="18" t="str">
        <f aca="false">IF($A820="","",IFERROR(IF(INDEX(tblOrtak[Ortak Adı],ROW($A820)-ROW(tblOrtak[[#Headers],[Tarih]])-1)=$B820,INDEX(tblOrtak[Bakiye (₺)],ROW($A820)-ROW(tblOrtak[[#Headers],[Tarih]])-1)+$E820,$E820),$E820))</f>
        <v/>
      </c>
      <c r="G820" s="19" t="str">
        <f aca="false">IF($A820="","",IFERROR(IF(INDEX(tblOrtak[Tarih],ROW($A820)-ROW(tblOrtak[[#Headers],[Tarih]])+1)=0,RaporTarihi,INDEX(tblOrtak[Tarih],ROW($A820)-ROW(tblOrtak[[#Headers],[Tarih]])+1))-$A820,RaporTarihi-$A820))</f>
        <v/>
      </c>
      <c r="H820" s="18" t="n">
        <f aca="false">IF($F820="",0,ROUND($F820*$G820,0))</f>
        <v>0</v>
      </c>
      <c r="I820" s="18" t="n">
        <f aca="false">IF($H820="",0,ROUND($H820*AdatFaizOran/AdatYilGunSayisi,2))</f>
        <v>0</v>
      </c>
      <c r="J820" s="22"/>
    </row>
    <row r="821" customFormat="false" ht="15" hidden="false" customHeight="false" outlineLevel="0" collapsed="false">
      <c r="A821" s="21"/>
      <c r="B821" s="22"/>
      <c r="C821" s="22"/>
      <c r="D821" s="23"/>
      <c r="E821" s="20" t="str">
        <f aca="false">IF($A821="","",IF($C821="Borç",-$D821,$D821))</f>
        <v/>
      </c>
      <c r="F821" s="18" t="str">
        <f aca="false">IF($A821="","",IFERROR(IF(INDEX(tblOrtak[Ortak Adı],ROW($A821)-ROW(tblOrtak[[#Headers],[Tarih]])-1)=$B821,INDEX(tblOrtak[Bakiye (₺)],ROW($A821)-ROW(tblOrtak[[#Headers],[Tarih]])-1)+$E821,$E821),$E821))</f>
        <v/>
      </c>
      <c r="G821" s="19" t="str">
        <f aca="false">IF($A821="","",IFERROR(IF(INDEX(tblOrtak[Tarih],ROW($A821)-ROW(tblOrtak[[#Headers],[Tarih]])+1)=0,RaporTarihi,INDEX(tblOrtak[Tarih],ROW($A821)-ROW(tblOrtak[[#Headers],[Tarih]])+1))-$A821,RaporTarihi-$A821))</f>
        <v/>
      </c>
      <c r="H821" s="18" t="n">
        <f aca="false">IF($F821="",0,ROUND($F821*$G821,0))</f>
        <v>0</v>
      </c>
      <c r="I821" s="18" t="n">
        <f aca="false">IF($H821="",0,ROUND($H821*AdatFaizOran/AdatYilGunSayisi,2))</f>
        <v>0</v>
      </c>
      <c r="J821" s="22"/>
    </row>
    <row r="822" customFormat="false" ht="15" hidden="false" customHeight="false" outlineLevel="0" collapsed="false">
      <c r="A822" s="21"/>
      <c r="B822" s="22"/>
      <c r="C822" s="22"/>
      <c r="D822" s="23"/>
      <c r="E822" s="20" t="str">
        <f aca="false">IF($A822="","",IF($C822="Borç",-$D822,$D822))</f>
        <v/>
      </c>
      <c r="F822" s="18" t="str">
        <f aca="false">IF($A822="","",IFERROR(IF(INDEX(tblOrtak[Ortak Adı],ROW($A822)-ROW(tblOrtak[[#Headers],[Tarih]])-1)=$B822,INDEX(tblOrtak[Bakiye (₺)],ROW($A822)-ROW(tblOrtak[[#Headers],[Tarih]])-1)+$E822,$E822),$E822))</f>
        <v/>
      </c>
      <c r="G822" s="19" t="str">
        <f aca="false">IF($A822="","",IFERROR(IF(INDEX(tblOrtak[Tarih],ROW($A822)-ROW(tblOrtak[[#Headers],[Tarih]])+1)=0,RaporTarihi,INDEX(tblOrtak[Tarih],ROW($A822)-ROW(tblOrtak[[#Headers],[Tarih]])+1))-$A822,RaporTarihi-$A822))</f>
        <v/>
      </c>
      <c r="H822" s="18" t="n">
        <f aca="false">IF($F822="",0,ROUND($F822*$G822,0))</f>
        <v>0</v>
      </c>
      <c r="I822" s="18" t="n">
        <f aca="false">IF($H822="",0,ROUND($H822*AdatFaizOran/AdatYilGunSayisi,2))</f>
        <v>0</v>
      </c>
      <c r="J822" s="22"/>
    </row>
    <row r="823" customFormat="false" ht="15" hidden="false" customHeight="false" outlineLevel="0" collapsed="false">
      <c r="A823" s="21"/>
      <c r="B823" s="22"/>
      <c r="C823" s="22"/>
      <c r="D823" s="23"/>
      <c r="E823" s="20" t="str">
        <f aca="false">IF($A823="","",IF($C823="Borç",-$D823,$D823))</f>
        <v/>
      </c>
      <c r="F823" s="18" t="str">
        <f aca="false">IF($A823="","",IFERROR(IF(INDEX(tblOrtak[Ortak Adı],ROW($A823)-ROW(tblOrtak[[#Headers],[Tarih]])-1)=$B823,INDEX(tblOrtak[Bakiye (₺)],ROW($A823)-ROW(tblOrtak[[#Headers],[Tarih]])-1)+$E823,$E823),$E823))</f>
        <v/>
      </c>
      <c r="G823" s="19" t="str">
        <f aca="false">IF($A823="","",IFERROR(IF(INDEX(tblOrtak[Tarih],ROW($A823)-ROW(tblOrtak[[#Headers],[Tarih]])+1)=0,RaporTarihi,INDEX(tblOrtak[Tarih],ROW($A823)-ROW(tblOrtak[[#Headers],[Tarih]])+1))-$A823,RaporTarihi-$A823))</f>
        <v/>
      </c>
      <c r="H823" s="18" t="n">
        <f aca="false">IF($F823="",0,ROUND($F823*$G823,0))</f>
        <v>0</v>
      </c>
      <c r="I823" s="18" t="n">
        <f aca="false">IF($H823="",0,ROUND($H823*AdatFaizOran/AdatYilGunSayisi,2))</f>
        <v>0</v>
      </c>
      <c r="J823" s="22"/>
    </row>
    <row r="824" customFormat="false" ht="15" hidden="false" customHeight="false" outlineLevel="0" collapsed="false">
      <c r="A824" s="21"/>
      <c r="B824" s="22"/>
      <c r="C824" s="22"/>
      <c r="D824" s="23"/>
      <c r="E824" s="20" t="str">
        <f aca="false">IF($A824="","",IF($C824="Borç",-$D824,$D824))</f>
        <v/>
      </c>
      <c r="F824" s="18" t="str">
        <f aca="false">IF($A824="","",IFERROR(IF(INDEX(tblOrtak[Ortak Adı],ROW($A824)-ROW(tblOrtak[[#Headers],[Tarih]])-1)=$B824,INDEX(tblOrtak[Bakiye (₺)],ROW($A824)-ROW(tblOrtak[[#Headers],[Tarih]])-1)+$E824,$E824),$E824))</f>
        <v/>
      </c>
      <c r="G824" s="19" t="str">
        <f aca="false">IF($A824="","",IFERROR(IF(INDEX(tblOrtak[Tarih],ROW($A824)-ROW(tblOrtak[[#Headers],[Tarih]])+1)=0,RaporTarihi,INDEX(tblOrtak[Tarih],ROW($A824)-ROW(tblOrtak[[#Headers],[Tarih]])+1))-$A824,RaporTarihi-$A824))</f>
        <v/>
      </c>
      <c r="H824" s="18" t="n">
        <f aca="false">IF($F824="",0,ROUND($F824*$G824,0))</f>
        <v>0</v>
      </c>
      <c r="I824" s="18" t="n">
        <f aca="false">IF($H824="",0,ROUND($H824*AdatFaizOran/AdatYilGunSayisi,2))</f>
        <v>0</v>
      </c>
      <c r="J824" s="22"/>
    </row>
    <row r="825" customFormat="false" ht="15" hidden="false" customHeight="false" outlineLevel="0" collapsed="false">
      <c r="A825" s="21"/>
      <c r="B825" s="22"/>
      <c r="C825" s="22"/>
      <c r="D825" s="23"/>
      <c r="E825" s="20" t="str">
        <f aca="false">IF($A825="","",IF($C825="Borç",-$D825,$D825))</f>
        <v/>
      </c>
      <c r="F825" s="18" t="str">
        <f aca="false">IF($A825="","",IFERROR(IF(INDEX(tblOrtak[Ortak Adı],ROW($A825)-ROW(tblOrtak[[#Headers],[Tarih]])-1)=$B825,INDEX(tblOrtak[Bakiye (₺)],ROW($A825)-ROW(tblOrtak[[#Headers],[Tarih]])-1)+$E825,$E825),$E825))</f>
        <v/>
      </c>
      <c r="G825" s="19" t="str">
        <f aca="false">IF($A825="","",IFERROR(IF(INDEX(tblOrtak[Tarih],ROW($A825)-ROW(tblOrtak[[#Headers],[Tarih]])+1)=0,RaporTarihi,INDEX(tblOrtak[Tarih],ROW($A825)-ROW(tblOrtak[[#Headers],[Tarih]])+1))-$A825,RaporTarihi-$A825))</f>
        <v/>
      </c>
      <c r="H825" s="18" t="n">
        <f aca="false">IF($F825="",0,ROUND($F825*$G825,0))</f>
        <v>0</v>
      </c>
      <c r="I825" s="18" t="n">
        <f aca="false">IF($H825="",0,ROUND($H825*AdatFaizOran/AdatYilGunSayisi,2))</f>
        <v>0</v>
      </c>
      <c r="J825" s="22"/>
    </row>
    <row r="826" customFormat="false" ht="15" hidden="false" customHeight="false" outlineLevel="0" collapsed="false">
      <c r="A826" s="21"/>
      <c r="B826" s="22"/>
      <c r="C826" s="22"/>
      <c r="D826" s="23"/>
      <c r="E826" s="20" t="str">
        <f aca="false">IF($A826="","",IF($C826="Borç",-$D826,$D826))</f>
        <v/>
      </c>
      <c r="F826" s="18" t="str">
        <f aca="false">IF($A826="","",IFERROR(IF(INDEX(tblOrtak[Ortak Adı],ROW($A826)-ROW(tblOrtak[[#Headers],[Tarih]])-1)=$B826,INDEX(tblOrtak[Bakiye (₺)],ROW($A826)-ROW(tblOrtak[[#Headers],[Tarih]])-1)+$E826,$E826),$E826))</f>
        <v/>
      </c>
      <c r="G826" s="19" t="str">
        <f aca="false">IF($A826="","",IFERROR(IF(INDEX(tblOrtak[Tarih],ROW($A826)-ROW(tblOrtak[[#Headers],[Tarih]])+1)=0,RaporTarihi,INDEX(tblOrtak[Tarih],ROW($A826)-ROW(tblOrtak[[#Headers],[Tarih]])+1))-$A826,RaporTarihi-$A826))</f>
        <v/>
      </c>
      <c r="H826" s="18" t="n">
        <f aca="false">IF($F826="",0,ROUND($F826*$G826,0))</f>
        <v>0</v>
      </c>
      <c r="I826" s="18" t="n">
        <f aca="false">IF($H826="",0,ROUND($H826*AdatFaizOran/AdatYilGunSayisi,2))</f>
        <v>0</v>
      </c>
      <c r="J826" s="22"/>
    </row>
    <row r="827" customFormat="false" ht="15" hidden="false" customHeight="false" outlineLevel="0" collapsed="false">
      <c r="A827" s="21"/>
      <c r="B827" s="22"/>
      <c r="C827" s="22"/>
      <c r="D827" s="23"/>
      <c r="E827" s="20" t="str">
        <f aca="false">IF($A827="","",IF($C827="Borç",-$D827,$D827))</f>
        <v/>
      </c>
      <c r="F827" s="18" t="str">
        <f aca="false">IF($A827="","",IFERROR(IF(INDEX(tblOrtak[Ortak Adı],ROW($A827)-ROW(tblOrtak[[#Headers],[Tarih]])-1)=$B827,INDEX(tblOrtak[Bakiye (₺)],ROW($A827)-ROW(tblOrtak[[#Headers],[Tarih]])-1)+$E827,$E827),$E827))</f>
        <v/>
      </c>
      <c r="G827" s="19" t="str">
        <f aca="false">IF($A827="","",IFERROR(IF(INDEX(tblOrtak[Tarih],ROW($A827)-ROW(tblOrtak[[#Headers],[Tarih]])+1)=0,RaporTarihi,INDEX(tblOrtak[Tarih],ROW($A827)-ROW(tblOrtak[[#Headers],[Tarih]])+1))-$A827,RaporTarihi-$A827))</f>
        <v/>
      </c>
      <c r="H827" s="18" t="n">
        <f aca="false">IF($F827="",0,ROUND($F827*$G827,0))</f>
        <v>0</v>
      </c>
      <c r="I827" s="18" t="n">
        <f aca="false">IF($H827="",0,ROUND($H827*AdatFaizOran/AdatYilGunSayisi,2))</f>
        <v>0</v>
      </c>
      <c r="J827" s="22"/>
    </row>
    <row r="828" customFormat="false" ht="15" hidden="false" customHeight="false" outlineLevel="0" collapsed="false">
      <c r="A828" s="21"/>
      <c r="B828" s="22"/>
      <c r="C828" s="22"/>
      <c r="D828" s="23"/>
      <c r="E828" s="20" t="str">
        <f aca="false">IF($A828="","",IF($C828="Borç",-$D828,$D828))</f>
        <v/>
      </c>
      <c r="F828" s="18" t="str">
        <f aca="false">IF($A828="","",IFERROR(IF(INDEX(tblOrtak[Ortak Adı],ROW($A828)-ROW(tblOrtak[[#Headers],[Tarih]])-1)=$B828,INDEX(tblOrtak[Bakiye (₺)],ROW($A828)-ROW(tblOrtak[[#Headers],[Tarih]])-1)+$E828,$E828),$E828))</f>
        <v/>
      </c>
      <c r="G828" s="19" t="str">
        <f aca="false">IF($A828="","",IFERROR(IF(INDEX(tblOrtak[Tarih],ROW($A828)-ROW(tblOrtak[[#Headers],[Tarih]])+1)=0,RaporTarihi,INDEX(tblOrtak[Tarih],ROW($A828)-ROW(tblOrtak[[#Headers],[Tarih]])+1))-$A828,RaporTarihi-$A828))</f>
        <v/>
      </c>
      <c r="H828" s="18" t="n">
        <f aca="false">IF($F828="",0,ROUND($F828*$G828,0))</f>
        <v>0</v>
      </c>
      <c r="I828" s="18" t="n">
        <f aca="false">IF($H828="",0,ROUND($H828*AdatFaizOran/AdatYilGunSayisi,2))</f>
        <v>0</v>
      </c>
      <c r="J828" s="22"/>
    </row>
    <row r="829" customFormat="false" ht="15" hidden="false" customHeight="false" outlineLevel="0" collapsed="false">
      <c r="A829" s="21"/>
      <c r="B829" s="22"/>
      <c r="C829" s="22"/>
      <c r="D829" s="23"/>
      <c r="E829" s="20" t="str">
        <f aca="false">IF($A829="","",IF($C829="Borç",-$D829,$D829))</f>
        <v/>
      </c>
      <c r="F829" s="18" t="str">
        <f aca="false">IF($A829="","",IFERROR(IF(INDEX(tblOrtak[Ortak Adı],ROW($A829)-ROW(tblOrtak[[#Headers],[Tarih]])-1)=$B829,INDEX(tblOrtak[Bakiye (₺)],ROW($A829)-ROW(tblOrtak[[#Headers],[Tarih]])-1)+$E829,$E829),$E829))</f>
        <v/>
      </c>
      <c r="G829" s="19" t="str">
        <f aca="false">IF($A829="","",IFERROR(IF(INDEX(tblOrtak[Tarih],ROW($A829)-ROW(tblOrtak[[#Headers],[Tarih]])+1)=0,RaporTarihi,INDEX(tblOrtak[Tarih],ROW($A829)-ROW(tblOrtak[[#Headers],[Tarih]])+1))-$A829,RaporTarihi-$A829))</f>
        <v/>
      </c>
      <c r="H829" s="18" t="n">
        <f aca="false">IF($F829="",0,ROUND($F829*$G829,0))</f>
        <v>0</v>
      </c>
      <c r="I829" s="18" t="n">
        <f aca="false">IF($H829="",0,ROUND($H829*AdatFaizOran/AdatYilGunSayisi,2))</f>
        <v>0</v>
      </c>
      <c r="J829" s="22"/>
    </row>
    <row r="830" customFormat="false" ht="15" hidden="false" customHeight="false" outlineLevel="0" collapsed="false">
      <c r="A830" s="21"/>
      <c r="B830" s="22"/>
      <c r="C830" s="22"/>
      <c r="D830" s="23"/>
      <c r="E830" s="20" t="str">
        <f aca="false">IF($A830="","",IF($C830="Borç",-$D830,$D830))</f>
        <v/>
      </c>
      <c r="F830" s="18" t="str">
        <f aca="false">IF($A830="","",IFERROR(IF(INDEX(tblOrtak[Ortak Adı],ROW($A830)-ROW(tblOrtak[[#Headers],[Tarih]])-1)=$B830,INDEX(tblOrtak[Bakiye (₺)],ROW($A830)-ROW(tblOrtak[[#Headers],[Tarih]])-1)+$E830,$E830),$E830))</f>
        <v/>
      </c>
      <c r="G830" s="19" t="str">
        <f aca="false">IF($A830="","",IFERROR(IF(INDEX(tblOrtak[Tarih],ROW($A830)-ROW(tblOrtak[[#Headers],[Tarih]])+1)=0,RaporTarihi,INDEX(tblOrtak[Tarih],ROW($A830)-ROW(tblOrtak[[#Headers],[Tarih]])+1))-$A830,RaporTarihi-$A830))</f>
        <v/>
      </c>
      <c r="H830" s="18" t="n">
        <f aca="false">IF($F830="",0,ROUND($F830*$G830,0))</f>
        <v>0</v>
      </c>
      <c r="I830" s="18" t="n">
        <f aca="false">IF($H830="",0,ROUND($H830*AdatFaizOran/AdatYilGunSayisi,2))</f>
        <v>0</v>
      </c>
      <c r="J830" s="22"/>
    </row>
    <row r="831" customFormat="false" ht="15" hidden="false" customHeight="false" outlineLevel="0" collapsed="false">
      <c r="A831" s="21"/>
      <c r="B831" s="22"/>
      <c r="C831" s="22"/>
      <c r="D831" s="23"/>
      <c r="E831" s="20" t="str">
        <f aca="false">IF($A831="","",IF($C831="Borç",-$D831,$D831))</f>
        <v/>
      </c>
      <c r="F831" s="18" t="str">
        <f aca="false">IF($A831="","",IFERROR(IF(INDEX(tblOrtak[Ortak Adı],ROW($A831)-ROW(tblOrtak[[#Headers],[Tarih]])-1)=$B831,INDEX(tblOrtak[Bakiye (₺)],ROW($A831)-ROW(tblOrtak[[#Headers],[Tarih]])-1)+$E831,$E831),$E831))</f>
        <v/>
      </c>
      <c r="G831" s="19" t="str">
        <f aca="false">IF($A831="","",IFERROR(IF(INDEX(tblOrtak[Tarih],ROW($A831)-ROW(tblOrtak[[#Headers],[Tarih]])+1)=0,RaporTarihi,INDEX(tblOrtak[Tarih],ROW($A831)-ROW(tblOrtak[[#Headers],[Tarih]])+1))-$A831,RaporTarihi-$A831))</f>
        <v/>
      </c>
      <c r="H831" s="18" t="n">
        <f aca="false">IF($F831="",0,ROUND($F831*$G831,0))</f>
        <v>0</v>
      </c>
      <c r="I831" s="18" t="n">
        <f aca="false">IF($H831="",0,ROUND($H831*AdatFaizOran/AdatYilGunSayisi,2))</f>
        <v>0</v>
      </c>
      <c r="J831" s="22"/>
    </row>
    <row r="832" customFormat="false" ht="15" hidden="false" customHeight="false" outlineLevel="0" collapsed="false">
      <c r="A832" s="21"/>
      <c r="B832" s="22"/>
      <c r="C832" s="22"/>
      <c r="D832" s="23"/>
      <c r="E832" s="20" t="str">
        <f aca="false">IF($A832="","",IF($C832="Borç",-$D832,$D832))</f>
        <v/>
      </c>
      <c r="F832" s="18" t="str">
        <f aca="false">IF($A832="","",IFERROR(IF(INDEX(tblOrtak[Ortak Adı],ROW($A832)-ROW(tblOrtak[[#Headers],[Tarih]])-1)=$B832,INDEX(tblOrtak[Bakiye (₺)],ROW($A832)-ROW(tblOrtak[[#Headers],[Tarih]])-1)+$E832,$E832),$E832))</f>
        <v/>
      </c>
      <c r="G832" s="19" t="str">
        <f aca="false">IF($A832="","",IFERROR(IF(INDEX(tblOrtak[Tarih],ROW($A832)-ROW(tblOrtak[[#Headers],[Tarih]])+1)=0,RaporTarihi,INDEX(tblOrtak[Tarih],ROW($A832)-ROW(tblOrtak[[#Headers],[Tarih]])+1))-$A832,RaporTarihi-$A832))</f>
        <v/>
      </c>
      <c r="H832" s="18" t="n">
        <f aca="false">IF($F832="",0,ROUND($F832*$G832,0))</f>
        <v>0</v>
      </c>
      <c r="I832" s="18" t="n">
        <f aca="false">IF($H832="",0,ROUND($H832*AdatFaizOran/AdatYilGunSayisi,2))</f>
        <v>0</v>
      </c>
      <c r="J832" s="22"/>
    </row>
    <row r="833" customFormat="false" ht="15" hidden="false" customHeight="false" outlineLevel="0" collapsed="false">
      <c r="A833" s="21"/>
      <c r="B833" s="22"/>
      <c r="C833" s="22"/>
      <c r="D833" s="23"/>
      <c r="E833" s="20" t="str">
        <f aca="false">IF($A833="","",IF($C833="Borç",-$D833,$D833))</f>
        <v/>
      </c>
      <c r="F833" s="18" t="str">
        <f aca="false">IF($A833="","",IFERROR(IF(INDEX(tblOrtak[Ortak Adı],ROW($A833)-ROW(tblOrtak[[#Headers],[Tarih]])-1)=$B833,INDEX(tblOrtak[Bakiye (₺)],ROW($A833)-ROW(tblOrtak[[#Headers],[Tarih]])-1)+$E833,$E833),$E833))</f>
        <v/>
      </c>
      <c r="G833" s="19" t="str">
        <f aca="false">IF($A833="","",IFERROR(IF(INDEX(tblOrtak[Tarih],ROW($A833)-ROW(tblOrtak[[#Headers],[Tarih]])+1)=0,RaporTarihi,INDEX(tblOrtak[Tarih],ROW($A833)-ROW(tblOrtak[[#Headers],[Tarih]])+1))-$A833,RaporTarihi-$A833))</f>
        <v/>
      </c>
      <c r="H833" s="18" t="n">
        <f aca="false">IF($F833="",0,ROUND($F833*$G833,0))</f>
        <v>0</v>
      </c>
      <c r="I833" s="18" t="n">
        <f aca="false">IF($H833="",0,ROUND($H833*AdatFaizOran/AdatYilGunSayisi,2))</f>
        <v>0</v>
      </c>
      <c r="J833" s="22"/>
    </row>
    <row r="834" customFormat="false" ht="15" hidden="false" customHeight="false" outlineLevel="0" collapsed="false">
      <c r="A834" s="21"/>
      <c r="B834" s="22"/>
      <c r="C834" s="22"/>
      <c r="D834" s="23"/>
      <c r="E834" s="20" t="str">
        <f aca="false">IF($A834="","",IF($C834="Borç",-$D834,$D834))</f>
        <v/>
      </c>
      <c r="F834" s="18" t="str">
        <f aca="false">IF($A834="","",IFERROR(IF(INDEX(tblOrtak[Ortak Adı],ROW($A834)-ROW(tblOrtak[[#Headers],[Tarih]])-1)=$B834,INDEX(tblOrtak[Bakiye (₺)],ROW($A834)-ROW(tblOrtak[[#Headers],[Tarih]])-1)+$E834,$E834),$E834))</f>
        <v/>
      </c>
      <c r="G834" s="19" t="str">
        <f aca="false">IF($A834="","",IFERROR(IF(INDEX(tblOrtak[Tarih],ROW($A834)-ROW(tblOrtak[[#Headers],[Tarih]])+1)=0,RaporTarihi,INDEX(tblOrtak[Tarih],ROW($A834)-ROW(tblOrtak[[#Headers],[Tarih]])+1))-$A834,RaporTarihi-$A834))</f>
        <v/>
      </c>
      <c r="H834" s="18" t="n">
        <f aca="false">IF($F834="",0,ROUND($F834*$G834,0))</f>
        <v>0</v>
      </c>
      <c r="I834" s="18" t="n">
        <f aca="false">IF($H834="",0,ROUND($H834*AdatFaizOran/AdatYilGunSayisi,2))</f>
        <v>0</v>
      </c>
      <c r="J834" s="22"/>
    </row>
    <row r="835" customFormat="false" ht="15" hidden="false" customHeight="false" outlineLevel="0" collapsed="false">
      <c r="A835" s="21"/>
      <c r="B835" s="22"/>
      <c r="C835" s="22"/>
      <c r="D835" s="23"/>
      <c r="E835" s="20" t="str">
        <f aca="false">IF($A835="","",IF($C835="Borç",-$D835,$D835))</f>
        <v/>
      </c>
      <c r="F835" s="18" t="str">
        <f aca="false">IF($A835="","",IFERROR(IF(INDEX(tblOrtak[Ortak Adı],ROW($A835)-ROW(tblOrtak[[#Headers],[Tarih]])-1)=$B835,INDEX(tblOrtak[Bakiye (₺)],ROW($A835)-ROW(tblOrtak[[#Headers],[Tarih]])-1)+$E835,$E835),$E835))</f>
        <v/>
      </c>
      <c r="G835" s="19" t="str">
        <f aca="false">IF($A835="","",IFERROR(IF(INDEX(tblOrtak[Tarih],ROW($A835)-ROW(tblOrtak[[#Headers],[Tarih]])+1)=0,RaporTarihi,INDEX(tblOrtak[Tarih],ROW($A835)-ROW(tblOrtak[[#Headers],[Tarih]])+1))-$A835,RaporTarihi-$A835))</f>
        <v/>
      </c>
      <c r="H835" s="18" t="n">
        <f aca="false">IF($F835="",0,ROUND($F835*$G835,0))</f>
        <v>0</v>
      </c>
      <c r="I835" s="18" t="n">
        <f aca="false">IF($H835="",0,ROUND($H835*AdatFaizOran/AdatYilGunSayisi,2))</f>
        <v>0</v>
      </c>
      <c r="J835" s="22"/>
    </row>
    <row r="836" customFormat="false" ht="15" hidden="false" customHeight="false" outlineLevel="0" collapsed="false">
      <c r="A836" s="21"/>
      <c r="B836" s="22"/>
      <c r="C836" s="22"/>
      <c r="D836" s="23"/>
      <c r="E836" s="20" t="str">
        <f aca="false">IF($A836="","",IF($C836="Borç",-$D836,$D836))</f>
        <v/>
      </c>
      <c r="F836" s="18" t="str">
        <f aca="false">IF($A836="","",IFERROR(IF(INDEX(tblOrtak[Ortak Adı],ROW($A836)-ROW(tblOrtak[[#Headers],[Tarih]])-1)=$B836,INDEX(tblOrtak[Bakiye (₺)],ROW($A836)-ROW(tblOrtak[[#Headers],[Tarih]])-1)+$E836,$E836),$E836))</f>
        <v/>
      </c>
      <c r="G836" s="19" t="str">
        <f aca="false">IF($A836="","",IFERROR(IF(INDEX(tblOrtak[Tarih],ROW($A836)-ROW(tblOrtak[[#Headers],[Tarih]])+1)=0,RaporTarihi,INDEX(tblOrtak[Tarih],ROW($A836)-ROW(tblOrtak[[#Headers],[Tarih]])+1))-$A836,RaporTarihi-$A836))</f>
        <v/>
      </c>
      <c r="H836" s="18" t="n">
        <f aca="false">IF($F836="",0,ROUND($F836*$G836,0))</f>
        <v>0</v>
      </c>
      <c r="I836" s="18" t="n">
        <f aca="false">IF($H836="",0,ROUND($H836*AdatFaizOran/AdatYilGunSayisi,2))</f>
        <v>0</v>
      </c>
      <c r="J836" s="22"/>
    </row>
    <row r="837" customFormat="false" ht="15" hidden="false" customHeight="false" outlineLevel="0" collapsed="false">
      <c r="A837" s="21"/>
      <c r="B837" s="22"/>
      <c r="C837" s="22"/>
      <c r="D837" s="23"/>
      <c r="E837" s="20" t="str">
        <f aca="false">IF($A837="","",IF($C837="Borç",-$D837,$D837))</f>
        <v/>
      </c>
      <c r="F837" s="18" t="str">
        <f aca="false">IF($A837="","",IFERROR(IF(INDEX(tblOrtak[Ortak Adı],ROW($A837)-ROW(tblOrtak[[#Headers],[Tarih]])-1)=$B837,INDEX(tblOrtak[Bakiye (₺)],ROW($A837)-ROW(tblOrtak[[#Headers],[Tarih]])-1)+$E837,$E837),$E837))</f>
        <v/>
      </c>
      <c r="G837" s="19" t="str">
        <f aca="false">IF($A837="","",IFERROR(IF(INDEX(tblOrtak[Tarih],ROW($A837)-ROW(tblOrtak[[#Headers],[Tarih]])+1)=0,RaporTarihi,INDEX(tblOrtak[Tarih],ROW($A837)-ROW(tblOrtak[[#Headers],[Tarih]])+1))-$A837,RaporTarihi-$A837))</f>
        <v/>
      </c>
      <c r="H837" s="18" t="n">
        <f aca="false">IF($F837="",0,ROUND($F837*$G837,0))</f>
        <v>0</v>
      </c>
      <c r="I837" s="18" t="n">
        <f aca="false">IF($H837="",0,ROUND($H837*AdatFaizOran/AdatYilGunSayisi,2))</f>
        <v>0</v>
      </c>
      <c r="J837" s="22"/>
    </row>
    <row r="838" customFormat="false" ht="15" hidden="false" customHeight="false" outlineLevel="0" collapsed="false">
      <c r="A838" s="21"/>
      <c r="B838" s="22"/>
      <c r="C838" s="22"/>
      <c r="D838" s="23"/>
      <c r="E838" s="20" t="str">
        <f aca="false">IF($A838="","",IF($C838="Borç",-$D838,$D838))</f>
        <v/>
      </c>
      <c r="F838" s="18" t="str">
        <f aca="false">IF($A838="","",IFERROR(IF(INDEX(tblOrtak[Ortak Adı],ROW($A838)-ROW(tblOrtak[[#Headers],[Tarih]])-1)=$B838,INDEX(tblOrtak[Bakiye (₺)],ROW($A838)-ROW(tblOrtak[[#Headers],[Tarih]])-1)+$E838,$E838),$E838))</f>
        <v/>
      </c>
      <c r="G838" s="19" t="str">
        <f aca="false">IF($A838="","",IFERROR(IF(INDEX(tblOrtak[Tarih],ROW($A838)-ROW(tblOrtak[[#Headers],[Tarih]])+1)=0,RaporTarihi,INDEX(tblOrtak[Tarih],ROW($A838)-ROW(tblOrtak[[#Headers],[Tarih]])+1))-$A838,RaporTarihi-$A838))</f>
        <v/>
      </c>
      <c r="H838" s="18" t="n">
        <f aca="false">IF($F838="",0,ROUND($F838*$G838,0))</f>
        <v>0</v>
      </c>
      <c r="I838" s="18" t="n">
        <f aca="false">IF($H838="",0,ROUND($H838*AdatFaizOran/AdatYilGunSayisi,2))</f>
        <v>0</v>
      </c>
      <c r="J838" s="22"/>
    </row>
    <row r="839" customFormat="false" ht="15" hidden="false" customHeight="false" outlineLevel="0" collapsed="false">
      <c r="A839" s="21"/>
      <c r="B839" s="22"/>
      <c r="C839" s="22"/>
      <c r="D839" s="23"/>
      <c r="E839" s="20" t="str">
        <f aca="false">IF($A839="","",IF($C839="Borç",-$D839,$D839))</f>
        <v/>
      </c>
      <c r="F839" s="18" t="str">
        <f aca="false">IF($A839="","",IFERROR(IF(INDEX(tblOrtak[Ortak Adı],ROW($A839)-ROW(tblOrtak[[#Headers],[Tarih]])-1)=$B839,INDEX(tblOrtak[Bakiye (₺)],ROW($A839)-ROW(tblOrtak[[#Headers],[Tarih]])-1)+$E839,$E839),$E839))</f>
        <v/>
      </c>
      <c r="G839" s="19" t="str">
        <f aca="false">IF($A839="","",IFERROR(IF(INDEX(tblOrtak[Tarih],ROW($A839)-ROW(tblOrtak[[#Headers],[Tarih]])+1)=0,RaporTarihi,INDEX(tblOrtak[Tarih],ROW($A839)-ROW(tblOrtak[[#Headers],[Tarih]])+1))-$A839,RaporTarihi-$A839))</f>
        <v/>
      </c>
      <c r="H839" s="18" t="n">
        <f aca="false">IF($F839="",0,ROUND($F839*$G839,0))</f>
        <v>0</v>
      </c>
      <c r="I839" s="18" t="n">
        <f aca="false">IF($H839="",0,ROUND($H839*AdatFaizOran/AdatYilGunSayisi,2))</f>
        <v>0</v>
      </c>
      <c r="J839" s="22"/>
    </row>
    <row r="840" customFormat="false" ht="15" hidden="false" customHeight="false" outlineLevel="0" collapsed="false">
      <c r="A840" s="21"/>
      <c r="B840" s="22"/>
      <c r="C840" s="22"/>
      <c r="D840" s="23"/>
      <c r="E840" s="20" t="str">
        <f aca="false">IF($A840="","",IF($C840="Borç",-$D840,$D840))</f>
        <v/>
      </c>
      <c r="F840" s="18" t="str">
        <f aca="false">IF($A840="","",IFERROR(IF(INDEX(tblOrtak[Ortak Adı],ROW($A840)-ROW(tblOrtak[[#Headers],[Tarih]])-1)=$B840,INDEX(tblOrtak[Bakiye (₺)],ROW($A840)-ROW(tblOrtak[[#Headers],[Tarih]])-1)+$E840,$E840),$E840))</f>
        <v/>
      </c>
      <c r="G840" s="19" t="str">
        <f aca="false">IF($A840="","",IFERROR(IF(INDEX(tblOrtak[Tarih],ROW($A840)-ROW(tblOrtak[[#Headers],[Tarih]])+1)=0,RaporTarihi,INDEX(tblOrtak[Tarih],ROW($A840)-ROW(tblOrtak[[#Headers],[Tarih]])+1))-$A840,RaporTarihi-$A840))</f>
        <v/>
      </c>
      <c r="H840" s="18" t="n">
        <f aca="false">IF($F840="",0,ROUND($F840*$G840,0))</f>
        <v>0</v>
      </c>
      <c r="I840" s="18" t="n">
        <f aca="false">IF($H840="",0,ROUND($H840*AdatFaizOran/AdatYilGunSayisi,2))</f>
        <v>0</v>
      </c>
      <c r="J840" s="22"/>
    </row>
    <row r="841" customFormat="false" ht="15" hidden="false" customHeight="false" outlineLevel="0" collapsed="false">
      <c r="A841" s="21"/>
      <c r="B841" s="22"/>
      <c r="C841" s="22"/>
      <c r="D841" s="23"/>
      <c r="E841" s="20" t="str">
        <f aca="false">IF($A841="","",IF($C841="Borç",-$D841,$D841))</f>
        <v/>
      </c>
      <c r="F841" s="18" t="str">
        <f aca="false">IF($A841="","",IFERROR(IF(INDEX(tblOrtak[Ortak Adı],ROW($A841)-ROW(tblOrtak[[#Headers],[Tarih]])-1)=$B841,INDEX(tblOrtak[Bakiye (₺)],ROW($A841)-ROW(tblOrtak[[#Headers],[Tarih]])-1)+$E841,$E841),$E841))</f>
        <v/>
      </c>
      <c r="G841" s="19" t="str">
        <f aca="false">IF($A841="","",IFERROR(IF(INDEX(tblOrtak[Tarih],ROW($A841)-ROW(tblOrtak[[#Headers],[Tarih]])+1)=0,RaporTarihi,INDEX(tblOrtak[Tarih],ROW($A841)-ROW(tblOrtak[[#Headers],[Tarih]])+1))-$A841,RaporTarihi-$A841))</f>
        <v/>
      </c>
      <c r="H841" s="18" t="n">
        <f aca="false">IF($F841="",0,ROUND($F841*$G841,0))</f>
        <v>0</v>
      </c>
      <c r="I841" s="18" t="n">
        <f aca="false">IF($H841="",0,ROUND($H841*AdatFaizOran/AdatYilGunSayisi,2))</f>
        <v>0</v>
      </c>
      <c r="J841" s="22"/>
    </row>
    <row r="842" customFormat="false" ht="15" hidden="false" customHeight="false" outlineLevel="0" collapsed="false">
      <c r="A842" s="21"/>
      <c r="B842" s="22"/>
      <c r="C842" s="22"/>
      <c r="D842" s="23"/>
      <c r="E842" s="20" t="str">
        <f aca="false">IF($A842="","",IF($C842="Borç",-$D842,$D842))</f>
        <v/>
      </c>
      <c r="F842" s="18" t="str">
        <f aca="false">IF($A842="","",IFERROR(IF(INDEX(tblOrtak[Ortak Adı],ROW($A842)-ROW(tblOrtak[[#Headers],[Tarih]])-1)=$B842,INDEX(tblOrtak[Bakiye (₺)],ROW($A842)-ROW(tblOrtak[[#Headers],[Tarih]])-1)+$E842,$E842),$E842))</f>
        <v/>
      </c>
      <c r="G842" s="19" t="str">
        <f aca="false">IF($A842="","",IFERROR(IF(INDEX(tblOrtak[Tarih],ROW($A842)-ROW(tblOrtak[[#Headers],[Tarih]])+1)=0,RaporTarihi,INDEX(tblOrtak[Tarih],ROW($A842)-ROW(tblOrtak[[#Headers],[Tarih]])+1))-$A842,RaporTarihi-$A842))</f>
        <v/>
      </c>
      <c r="H842" s="18" t="n">
        <f aca="false">IF($F842="",0,ROUND($F842*$G842,0))</f>
        <v>0</v>
      </c>
      <c r="I842" s="18" t="n">
        <f aca="false">IF($H842="",0,ROUND($H842*AdatFaizOran/AdatYilGunSayisi,2))</f>
        <v>0</v>
      </c>
      <c r="J842" s="22"/>
    </row>
    <row r="843" customFormat="false" ht="15" hidden="false" customHeight="false" outlineLevel="0" collapsed="false">
      <c r="A843" s="21"/>
      <c r="B843" s="22"/>
      <c r="C843" s="22"/>
      <c r="D843" s="23"/>
      <c r="E843" s="20" t="str">
        <f aca="false">IF($A843="","",IF($C843="Borç",-$D843,$D843))</f>
        <v/>
      </c>
      <c r="F843" s="18" t="str">
        <f aca="false">IF($A843="","",IFERROR(IF(INDEX(tblOrtak[Ortak Adı],ROW($A843)-ROW(tblOrtak[[#Headers],[Tarih]])-1)=$B843,INDEX(tblOrtak[Bakiye (₺)],ROW($A843)-ROW(tblOrtak[[#Headers],[Tarih]])-1)+$E843,$E843),$E843))</f>
        <v/>
      </c>
      <c r="G843" s="19" t="str">
        <f aca="false">IF($A843="","",IFERROR(IF(INDEX(tblOrtak[Tarih],ROW($A843)-ROW(tblOrtak[[#Headers],[Tarih]])+1)=0,RaporTarihi,INDEX(tblOrtak[Tarih],ROW($A843)-ROW(tblOrtak[[#Headers],[Tarih]])+1))-$A843,RaporTarihi-$A843))</f>
        <v/>
      </c>
      <c r="H843" s="18" t="n">
        <f aca="false">IF($F843="",0,ROUND($F843*$G843,0))</f>
        <v>0</v>
      </c>
      <c r="I843" s="18" t="n">
        <f aca="false">IF($H843="",0,ROUND($H843*AdatFaizOran/AdatYilGunSayisi,2))</f>
        <v>0</v>
      </c>
      <c r="J843" s="22"/>
    </row>
    <row r="844" customFormat="false" ht="15" hidden="false" customHeight="false" outlineLevel="0" collapsed="false">
      <c r="A844" s="21"/>
      <c r="B844" s="22"/>
      <c r="C844" s="22"/>
      <c r="D844" s="23"/>
      <c r="E844" s="20" t="str">
        <f aca="false">IF($A844="","",IF($C844="Borç",-$D844,$D844))</f>
        <v/>
      </c>
      <c r="F844" s="18" t="str">
        <f aca="false">IF($A844="","",IFERROR(IF(INDEX(tblOrtak[Ortak Adı],ROW($A844)-ROW(tblOrtak[[#Headers],[Tarih]])-1)=$B844,INDEX(tblOrtak[Bakiye (₺)],ROW($A844)-ROW(tblOrtak[[#Headers],[Tarih]])-1)+$E844,$E844),$E844))</f>
        <v/>
      </c>
      <c r="G844" s="19" t="str">
        <f aca="false">IF($A844="","",IFERROR(IF(INDEX(tblOrtak[Tarih],ROW($A844)-ROW(tblOrtak[[#Headers],[Tarih]])+1)=0,RaporTarihi,INDEX(tblOrtak[Tarih],ROW($A844)-ROW(tblOrtak[[#Headers],[Tarih]])+1))-$A844,RaporTarihi-$A844))</f>
        <v/>
      </c>
      <c r="H844" s="18" t="n">
        <f aca="false">IF($F844="",0,ROUND($F844*$G844,0))</f>
        <v>0</v>
      </c>
      <c r="I844" s="18" t="n">
        <f aca="false">IF($H844="",0,ROUND($H844*AdatFaizOran/AdatYilGunSayisi,2))</f>
        <v>0</v>
      </c>
      <c r="J844" s="22"/>
    </row>
    <row r="845" customFormat="false" ht="15" hidden="false" customHeight="false" outlineLevel="0" collapsed="false">
      <c r="A845" s="21"/>
      <c r="B845" s="22"/>
      <c r="C845" s="22"/>
      <c r="D845" s="23"/>
      <c r="E845" s="20" t="str">
        <f aca="false">IF($A845="","",IF($C845="Borç",-$D845,$D845))</f>
        <v/>
      </c>
      <c r="F845" s="18" t="str">
        <f aca="false">IF($A845="","",IFERROR(IF(INDEX(tblOrtak[Ortak Adı],ROW($A845)-ROW(tblOrtak[[#Headers],[Tarih]])-1)=$B845,INDEX(tblOrtak[Bakiye (₺)],ROW($A845)-ROW(tblOrtak[[#Headers],[Tarih]])-1)+$E845,$E845),$E845))</f>
        <v/>
      </c>
      <c r="G845" s="19" t="str">
        <f aca="false">IF($A845="","",IFERROR(IF(INDEX(tblOrtak[Tarih],ROW($A845)-ROW(tblOrtak[[#Headers],[Tarih]])+1)=0,RaporTarihi,INDEX(tblOrtak[Tarih],ROW($A845)-ROW(tblOrtak[[#Headers],[Tarih]])+1))-$A845,RaporTarihi-$A845))</f>
        <v/>
      </c>
      <c r="H845" s="18" t="n">
        <f aca="false">IF($F845="",0,ROUND($F845*$G845,0))</f>
        <v>0</v>
      </c>
      <c r="I845" s="18" t="n">
        <f aca="false">IF($H845="",0,ROUND($H845*AdatFaizOran/AdatYilGunSayisi,2))</f>
        <v>0</v>
      </c>
      <c r="J845" s="22"/>
    </row>
    <row r="846" customFormat="false" ht="15" hidden="false" customHeight="false" outlineLevel="0" collapsed="false">
      <c r="A846" s="21"/>
      <c r="B846" s="22"/>
      <c r="C846" s="22"/>
      <c r="D846" s="23"/>
      <c r="E846" s="20" t="str">
        <f aca="false">IF($A846="","",IF($C846="Borç",-$D846,$D846))</f>
        <v/>
      </c>
      <c r="F846" s="18" t="str">
        <f aca="false">IF($A846="","",IFERROR(IF(INDEX(tblOrtak[Ortak Adı],ROW($A846)-ROW(tblOrtak[[#Headers],[Tarih]])-1)=$B846,INDEX(tblOrtak[Bakiye (₺)],ROW($A846)-ROW(tblOrtak[[#Headers],[Tarih]])-1)+$E846,$E846),$E846))</f>
        <v/>
      </c>
      <c r="G846" s="19" t="str">
        <f aca="false">IF($A846="","",IFERROR(IF(INDEX(tblOrtak[Tarih],ROW($A846)-ROW(tblOrtak[[#Headers],[Tarih]])+1)=0,RaporTarihi,INDEX(tblOrtak[Tarih],ROW($A846)-ROW(tblOrtak[[#Headers],[Tarih]])+1))-$A846,RaporTarihi-$A846))</f>
        <v/>
      </c>
      <c r="H846" s="18" t="n">
        <f aca="false">IF($F846="",0,ROUND($F846*$G846,0))</f>
        <v>0</v>
      </c>
      <c r="I846" s="18" t="n">
        <f aca="false">IF($H846="",0,ROUND($H846*AdatFaizOran/AdatYilGunSayisi,2))</f>
        <v>0</v>
      </c>
      <c r="J846" s="22"/>
    </row>
    <row r="847" customFormat="false" ht="15" hidden="false" customHeight="false" outlineLevel="0" collapsed="false">
      <c r="A847" s="21"/>
      <c r="B847" s="22"/>
      <c r="C847" s="22"/>
      <c r="D847" s="23"/>
      <c r="E847" s="20" t="str">
        <f aca="false">IF($A847="","",IF($C847="Borç",-$D847,$D847))</f>
        <v/>
      </c>
      <c r="F847" s="18" t="str">
        <f aca="false">IF($A847="","",IFERROR(IF(INDEX(tblOrtak[Ortak Adı],ROW($A847)-ROW(tblOrtak[[#Headers],[Tarih]])-1)=$B847,INDEX(tblOrtak[Bakiye (₺)],ROW($A847)-ROW(tblOrtak[[#Headers],[Tarih]])-1)+$E847,$E847),$E847))</f>
        <v/>
      </c>
      <c r="G847" s="19" t="str">
        <f aca="false">IF($A847="","",IFERROR(IF(INDEX(tblOrtak[Tarih],ROW($A847)-ROW(tblOrtak[[#Headers],[Tarih]])+1)=0,RaporTarihi,INDEX(tblOrtak[Tarih],ROW($A847)-ROW(tblOrtak[[#Headers],[Tarih]])+1))-$A847,RaporTarihi-$A847))</f>
        <v/>
      </c>
      <c r="H847" s="18" t="n">
        <f aca="false">IF($F847="",0,ROUND($F847*$G847,0))</f>
        <v>0</v>
      </c>
      <c r="I847" s="18" t="n">
        <f aca="false">IF($H847="",0,ROUND($H847*AdatFaizOran/AdatYilGunSayisi,2))</f>
        <v>0</v>
      </c>
      <c r="J847" s="22"/>
    </row>
    <row r="848" customFormat="false" ht="15" hidden="false" customHeight="false" outlineLevel="0" collapsed="false">
      <c r="A848" s="21"/>
      <c r="B848" s="22"/>
      <c r="C848" s="22"/>
      <c r="D848" s="23"/>
      <c r="E848" s="20" t="str">
        <f aca="false">IF($A848="","",IF($C848="Borç",-$D848,$D848))</f>
        <v/>
      </c>
      <c r="F848" s="18" t="str">
        <f aca="false">IF($A848="","",IFERROR(IF(INDEX(tblOrtak[Ortak Adı],ROW($A848)-ROW(tblOrtak[[#Headers],[Tarih]])-1)=$B848,INDEX(tblOrtak[Bakiye (₺)],ROW($A848)-ROW(tblOrtak[[#Headers],[Tarih]])-1)+$E848,$E848),$E848))</f>
        <v/>
      </c>
      <c r="G848" s="19" t="str">
        <f aca="false">IF($A848="","",IFERROR(IF(INDEX(tblOrtak[Tarih],ROW($A848)-ROW(tblOrtak[[#Headers],[Tarih]])+1)=0,RaporTarihi,INDEX(tblOrtak[Tarih],ROW($A848)-ROW(tblOrtak[[#Headers],[Tarih]])+1))-$A848,RaporTarihi-$A848))</f>
        <v/>
      </c>
      <c r="H848" s="18" t="n">
        <f aca="false">IF($F848="",0,ROUND($F848*$G848,0))</f>
        <v>0</v>
      </c>
      <c r="I848" s="18" t="n">
        <f aca="false">IF($H848="",0,ROUND($H848*AdatFaizOran/AdatYilGunSayisi,2))</f>
        <v>0</v>
      </c>
      <c r="J848" s="22"/>
    </row>
    <row r="849" customFormat="false" ht="15" hidden="false" customHeight="false" outlineLevel="0" collapsed="false">
      <c r="A849" s="21"/>
      <c r="B849" s="22"/>
      <c r="C849" s="22"/>
      <c r="D849" s="23"/>
      <c r="E849" s="20" t="str">
        <f aca="false">IF($A849="","",IF($C849="Borç",-$D849,$D849))</f>
        <v/>
      </c>
      <c r="F849" s="18" t="str">
        <f aca="false">IF($A849="","",IFERROR(IF(INDEX(tblOrtak[Ortak Adı],ROW($A849)-ROW(tblOrtak[[#Headers],[Tarih]])-1)=$B849,INDEX(tblOrtak[Bakiye (₺)],ROW($A849)-ROW(tblOrtak[[#Headers],[Tarih]])-1)+$E849,$E849),$E849))</f>
        <v/>
      </c>
      <c r="G849" s="19" t="str">
        <f aca="false">IF($A849="","",IFERROR(IF(INDEX(tblOrtak[Tarih],ROW($A849)-ROW(tblOrtak[[#Headers],[Tarih]])+1)=0,RaporTarihi,INDEX(tblOrtak[Tarih],ROW($A849)-ROW(tblOrtak[[#Headers],[Tarih]])+1))-$A849,RaporTarihi-$A849))</f>
        <v/>
      </c>
      <c r="H849" s="18" t="n">
        <f aca="false">IF($F849="",0,ROUND($F849*$G849,0))</f>
        <v>0</v>
      </c>
      <c r="I849" s="18" t="n">
        <f aca="false">IF($H849="",0,ROUND($H849*AdatFaizOran/AdatYilGunSayisi,2))</f>
        <v>0</v>
      </c>
      <c r="J849" s="22"/>
    </row>
    <row r="850" customFormat="false" ht="15" hidden="false" customHeight="false" outlineLevel="0" collapsed="false">
      <c r="A850" s="21"/>
      <c r="B850" s="22"/>
      <c r="C850" s="22"/>
      <c r="D850" s="23"/>
      <c r="E850" s="20" t="str">
        <f aca="false">IF($A850="","",IF($C850="Borç",-$D850,$D850))</f>
        <v/>
      </c>
      <c r="F850" s="18" t="str">
        <f aca="false">IF($A850="","",IFERROR(IF(INDEX(tblOrtak[Ortak Adı],ROW($A850)-ROW(tblOrtak[[#Headers],[Tarih]])-1)=$B850,INDEX(tblOrtak[Bakiye (₺)],ROW($A850)-ROW(tblOrtak[[#Headers],[Tarih]])-1)+$E850,$E850),$E850))</f>
        <v/>
      </c>
      <c r="G850" s="19" t="str">
        <f aca="false">IF($A850="","",IFERROR(IF(INDEX(tblOrtak[Tarih],ROW($A850)-ROW(tblOrtak[[#Headers],[Tarih]])+1)=0,RaporTarihi,INDEX(tblOrtak[Tarih],ROW($A850)-ROW(tblOrtak[[#Headers],[Tarih]])+1))-$A850,RaporTarihi-$A850))</f>
        <v/>
      </c>
      <c r="H850" s="18" t="n">
        <f aca="false">IF($F850="",0,ROUND($F850*$G850,0))</f>
        <v>0</v>
      </c>
      <c r="I850" s="18" t="n">
        <f aca="false">IF($H850="",0,ROUND($H850*AdatFaizOran/AdatYilGunSayisi,2))</f>
        <v>0</v>
      </c>
      <c r="J850" s="22"/>
    </row>
    <row r="851" customFormat="false" ht="15" hidden="false" customHeight="false" outlineLevel="0" collapsed="false">
      <c r="A851" s="21"/>
      <c r="B851" s="22"/>
      <c r="C851" s="22"/>
      <c r="D851" s="23"/>
      <c r="E851" s="20" t="str">
        <f aca="false">IF($A851="","",IF($C851="Borç",-$D851,$D851))</f>
        <v/>
      </c>
      <c r="F851" s="18" t="str">
        <f aca="false">IF($A851="","",IFERROR(IF(INDEX(tblOrtak[Ortak Adı],ROW($A851)-ROW(tblOrtak[[#Headers],[Tarih]])-1)=$B851,INDEX(tblOrtak[Bakiye (₺)],ROW($A851)-ROW(tblOrtak[[#Headers],[Tarih]])-1)+$E851,$E851),$E851))</f>
        <v/>
      </c>
      <c r="G851" s="19" t="str">
        <f aca="false">IF($A851="","",IFERROR(IF(INDEX(tblOrtak[Tarih],ROW($A851)-ROW(tblOrtak[[#Headers],[Tarih]])+1)=0,RaporTarihi,INDEX(tblOrtak[Tarih],ROW($A851)-ROW(tblOrtak[[#Headers],[Tarih]])+1))-$A851,RaporTarihi-$A851))</f>
        <v/>
      </c>
      <c r="H851" s="18" t="n">
        <f aca="false">IF($F851="",0,ROUND($F851*$G851,0))</f>
        <v>0</v>
      </c>
      <c r="I851" s="18" t="n">
        <f aca="false">IF($H851="",0,ROUND($H851*AdatFaizOran/AdatYilGunSayisi,2))</f>
        <v>0</v>
      </c>
      <c r="J851" s="22"/>
    </row>
    <row r="852" customFormat="false" ht="15" hidden="false" customHeight="false" outlineLevel="0" collapsed="false">
      <c r="A852" s="21"/>
      <c r="B852" s="22"/>
      <c r="C852" s="22"/>
      <c r="D852" s="23"/>
      <c r="E852" s="20" t="str">
        <f aca="false">IF($A852="","",IF($C852="Borç",-$D852,$D852))</f>
        <v/>
      </c>
      <c r="F852" s="18" t="str">
        <f aca="false">IF($A852="","",IFERROR(IF(INDEX(tblOrtak[Ortak Adı],ROW($A852)-ROW(tblOrtak[[#Headers],[Tarih]])-1)=$B852,INDEX(tblOrtak[Bakiye (₺)],ROW($A852)-ROW(tblOrtak[[#Headers],[Tarih]])-1)+$E852,$E852),$E852))</f>
        <v/>
      </c>
      <c r="G852" s="19" t="str">
        <f aca="false">IF($A852="","",IFERROR(IF(INDEX(tblOrtak[Tarih],ROW($A852)-ROW(tblOrtak[[#Headers],[Tarih]])+1)=0,RaporTarihi,INDEX(tblOrtak[Tarih],ROW($A852)-ROW(tblOrtak[[#Headers],[Tarih]])+1))-$A852,RaporTarihi-$A852))</f>
        <v/>
      </c>
      <c r="H852" s="18" t="n">
        <f aca="false">IF($F852="",0,ROUND($F852*$G852,0))</f>
        <v>0</v>
      </c>
      <c r="I852" s="18" t="n">
        <f aca="false">IF($H852="",0,ROUND($H852*AdatFaizOran/AdatYilGunSayisi,2))</f>
        <v>0</v>
      </c>
      <c r="J852" s="22"/>
    </row>
    <row r="853" customFormat="false" ht="15" hidden="false" customHeight="false" outlineLevel="0" collapsed="false">
      <c r="A853" s="21"/>
      <c r="B853" s="22"/>
      <c r="C853" s="22"/>
      <c r="D853" s="23"/>
      <c r="E853" s="20" t="str">
        <f aca="false">IF($A853="","",IF($C853="Borç",-$D853,$D853))</f>
        <v/>
      </c>
      <c r="F853" s="18" t="str">
        <f aca="false">IF($A853="","",IFERROR(IF(INDEX(tblOrtak[Ortak Adı],ROW($A853)-ROW(tblOrtak[[#Headers],[Tarih]])-1)=$B853,INDEX(tblOrtak[Bakiye (₺)],ROW($A853)-ROW(tblOrtak[[#Headers],[Tarih]])-1)+$E853,$E853),$E853))</f>
        <v/>
      </c>
      <c r="G853" s="19" t="str">
        <f aca="false">IF($A853="","",IFERROR(IF(INDEX(tblOrtak[Tarih],ROW($A853)-ROW(tblOrtak[[#Headers],[Tarih]])+1)=0,RaporTarihi,INDEX(tblOrtak[Tarih],ROW($A853)-ROW(tblOrtak[[#Headers],[Tarih]])+1))-$A853,RaporTarihi-$A853))</f>
        <v/>
      </c>
      <c r="H853" s="18" t="n">
        <f aca="false">IF($F853="",0,ROUND($F853*$G853,0))</f>
        <v>0</v>
      </c>
      <c r="I853" s="18" t="n">
        <f aca="false">IF($H853="",0,ROUND($H853*AdatFaizOran/AdatYilGunSayisi,2))</f>
        <v>0</v>
      </c>
      <c r="J853" s="22"/>
    </row>
    <row r="854" customFormat="false" ht="15" hidden="false" customHeight="false" outlineLevel="0" collapsed="false">
      <c r="A854" s="21"/>
      <c r="B854" s="22"/>
      <c r="C854" s="22"/>
      <c r="D854" s="23"/>
      <c r="E854" s="20" t="str">
        <f aca="false">IF($A854="","",IF($C854="Borç",-$D854,$D854))</f>
        <v/>
      </c>
      <c r="F854" s="18" t="str">
        <f aca="false">IF($A854="","",IFERROR(IF(INDEX(tblOrtak[Ortak Adı],ROW($A854)-ROW(tblOrtak[[#Headers],[Tarih]])-1)=$B854,INDEX(tblOrtak[Bakiye (₺)],ROW($A854)-ROW(tblOrtak[[#Headers],[Tarih]])-1)+$E854,$E854),$E854))</f>
        <v/>
      </c>
      <c r="G854" s="19" t="str">
        <f aca="false">IF($A854="","",IFERROR(IF(INDEX(tblOrtak[Tarih],ROW($A854)-ROW(tblOrtak[[#Headers],[Tarih]])+1)=0,RaporTarihi,INDEX(tblOrtak[Tarih],ROW($A854)-ROW(tblOrtak[[#Headers],[Tarih]])+1))-$A854,RaporTarihi-$A854))</f>
        <v/>
      </c>
      <c r="H854" s="18" t="n">
        <f aca="false">IF($F854="",0,ROUND($F854*$G854,0))</f>
        <v>0</v>
      </c>
      <c r="I854" s="18" t="n">
        <f aca="false">IF($H854="",0,ROUND($H854*AdatFaizOran/AdatYilGunSayisi,2))</f>
        <v>0</v>
      </c>
      <c r="J854" s="22"/>
    </row>
    <row r="855" customFormat="false" ht="15" hidden="false" customHeight="false" outlineLevel="0" collapsed="false">
      <c r="A855" s="21"/>
      <c r="B855" s="22"/>
      <c r="C855" s="22"/>
      <c r="D855" s="23"/>
      <c r="E855" s="20" t="str">
        <f aca="false">IF($A855="","",IF($C855="Borç",-$D855,$D855))</f>
        <v/>
      </c>
      <c r="F855" s="18" t="str">
        <f aca="false">IF($A855="","",IFERROR(IF(INDEX(tblOrtak[Ortak Adı],ROW($A855)-ROW(tblOrtak[[#Headers],[Tarih]])-1)=$B855,INDEX(tblOrtak[Bakiye (₺)],ROW($A855)-ROW(tblOrtak[[#Headers],[Tarih]])-1)+$E855,$E855),$E855))</f>
        <v/>
      </c>
      <c r="G855" s="19" t="str">
        <f aca="false">IF($A855="","",IFERROR(IF(INDEX(tblOrtak[Tarih],ROW($A855)-ROW(tblOrtak[[#Headers],[Tarih]])+1)=0,RaporTarihi,INDEX(tblOrtak[Tarih],ROW($A855)-ROW(tblOrtak[[#Headers],[Tarih]])+1))-$A855,RaporTarihi-$A855))</f>
        <v/>
      </c>
      <c r="H855" s="18" t="n">
        <f aca="false">IF($F855="",0,ROUND($F855*$G855,0))</f>
        <v>0</v>
      </c>
      <c r="I855" s="18" t="n">
        <f aca="false">IF($H855="",0,ROUND($H855*AdatFaizOran/AdatYilGunSayisi,2))</f>
        <v>0</v>
      </c>
      <c r="J855" s="22"/>
    </row>
    <row r="856" customFormat="false" ht="15" hidden="false" customHeight="false" outlineLevel="0" collapsed="false">
      <c r="A856" s="21"/>
      <c r="B856" s="22"/>
      <c r="C856" s="22"/>
      <c r="D856" s="23"/>
      <c r="E856" s="20" t="str">
        <f aca="false">IF($A856="","",IF($C856="Borç",-$D856,$D856))</f>
        <v/>
      </c>
      <c r="F856" s="18" t="str">
        <f aca="false">IF($A856="","",IFERROR(IF(INDEX(tblOrtak[Ortak Adı],ROW($A856)-ROW(tblOrtak[[#Headers],[Tarih]])-1)=$B856,INDEX(tblOrtak[Bakiye (₺)],ROW($A856)-ROW(tblOrtak[[#Headers],[Tarih]])-1)+$E856,$E856),$E856))</f>
        <v/>
      </c>
      <c r="G856" s="19" t="str">
        <f aca="false">IF($A856="","",IFERROR(IF(INDEX(tblOrtak[Tarih],ROW($A856)-ROW(tblOrtak[[#Headers],[Tarih]])+1)=0,RaporTarihi,INDEX(tblOrtak[Tarih],ROW($A856)-ROW(tblOrtak[[#Headers],[Tarih]])+1))-$A856,RaporTarihi-$A856))</f>
        <v/>
      </c>
      <c r="H856" s="18" t="n">
        <f aca="false">IF($F856="",0,ROUND($F856*$G856,0))</f>
        <v>0</v>
      </c>
      <c r="I856" s="18" t="n">
        <f aca="false">IF($H856="",0,ROUND($H856*AdatFaizOran/AdatYilGunSayisi,2))</f>
        <v>0</v>
      </c>
      <c r="J856" s="22"/>
    </row>
    <row r="857" customFormat="false" ht="15" hidden="false" customHeight="false" outlineLevel="0" collapsed="false">
      <c r="A857" s="21"/>
      <c r="B857" s="22"/>
      <c r="C857" s="22"/>
      <c r="D857" s="23"/>
      <c r="E857" s="20" t="str">
        <f aca="false">IF($A857="","",IF($C857="Borç",-$D857,$D857))</f>
        <v/>
      </c>
      <c r="F857" s="18" t="str">
        <f aca="false">IF($A857="","",IFERROR(IF(INDEX(tblOrtak[Ortak Adı],ROW($A857)-ROW(tblOrtak[[#Headers],[Tarih]])-1)=$B857,INDEX(tblOrtak[Bakiye (₺)],ROW($A857)-ROW(tblOrtak[[#Headers],[Tarih]])-1)+$E857,$E857),$E857))</f>
        <v/>
      </c>
      <c r="G857" s="19" t="str">
        <f aca="false">IF($A857="","",IFERROR(IF(INDEX(tblOrtak[Tarih],ROW($A857)-ROW(tblOrtak[[#Headers],[Tarih]])+1)=0,RaporTarihi,INDEX(tblOrtak[Tarih],ROW($A857)-ROW(tblOrtak[[#Headers],[Tarih]])+1))-$A857,RaporTarihi-$A857))</f>
        <v/>
      </c>
      <c r="H857" s="18" t="n">
        <f aca="false">IF($F857="",0,ROUND($F857*$G857,0))</f>
        <v>0</v>
      </c>
      <c r="I857" s="18" t="n">
        <f aca="false">IF($H857="",0,ROUND($H857*AdatFaizOran/AdatYilGunSayisi,2))</f>
        <v>0</v>
      </c>
      <c r="J857" s="22"/>
    </row>
    <row r="858" customFormat="false" ht="15" hidden="false" customHeight="false" outlineLevel="0" collapsed="false">
      <c r="A858" s="21"/>
      <c r="B858" s="22"/>
      <c r="C858" s="22"/>
      <c r="D858" s="23"/>
      <c r="E858" s="20" t="str">
        <f aca="false">IF($A858="","",IF($C858="Borç",-$D858,$D858))</f>
        <v/>
      </c>
      <c r="F858" s="18" t="str">
        <f aca="false">IF($A858="","",IFERROR(IF(INDEX(tblOrtak[Ortak Adı],ROW($A858)-ROW(tblOrtak[[#Headers],[Tarih]])-1)=$B858,INDEX(tblOrtak[Bakiye (₺)],ROW($A858)-ROW(tblOrtak[[#Headers],[Tarih]])-1)+$E858,$E858),$E858))</f>
        <v/>
      </c>
      <c r="G858" s="19" t="str">
        <f aca="false">IF($A858="","",IFERROR(IF(INDEX(tblOrtak[Tarih],ROW($A858)-ROW(tblOrtak[[#Headers],[Tarih]])+1)=0,RaporTarihi,INDEX(tblOrtak[Tarih],ROW($A858)-ROW(tblOrtak[[#Headers],[Tarih]])+1))-$A858,RaporTarihi-$A858))</f>
        <v/>
      </c>
      <c r="H858" s="18" t="n">
        <f aca="false">IF($F858="",0,ROUND($F858*$G858,0))</f>
        <v>0</v>
      </c>
      <c r="I858" s="18" t="n">
        <f aca="false">IF($H858="",0,ROUND($H858*AdatFaizOran/AdatYilGunSayisi,2))</f>
        <v>0</v>
      </c>
      <c r="J858" s="22"/>
    </row>
    <row r="859" customFormat="false" ht="15" hidden="false" customHeight="false" outlineLevel="0" collapsed="false">
      <c r="A859" s="21"/>
      <c r="B859" s="22"/>
      <c r="C859" s="22"/>
      <c r="D859" s="23"/>
      <c r="E859" s="20" t="str">
        <f aca="false">IF($A859="","",IF($C859="Borç",-$D859,$D859))</f>
        <v/>
      </c>
      <c r="F859" s="18" t="str">
        <f aca="false">IF($A859="","",IFERROR(IF(INDEX(tblOrtak[Ortak Adı],ROW($A859)-ROW(tblOrtak[[#Headers],[Tarih]])-1)=$B859,INDEX(tblOrtak[Bakiye (₺)],ROW($A859)-ROW(tblOrtak[[#Headers],[Tarih]])-1)+$E859,$E859),$E859))</f>
        <v/>
      </c>
      <c r="G859" s="19" t="str">
        <f aca="false">IF($A859="","",IFERROR(IF(INDEX(tblOrtak[Tarih],ROW($A859)-ROW(tblOrtak[[#Headers],[Tarih]])+1)=0,RaporTarihi,INDEX(tblOrtak[Tarih],ROW($A859)-ROW(tblOrtak[[#Headers],[Tarih]])+1))-$A859,RaporTarihi-$A859))</f>
        <v/>
      </c>
      <c r="H859" s="18" t="n">
        <f aca="false">IF($F859="",0,ROUND($F859*$G859,0))</f>
        <v>0</v>
      </c>
      <c r="I859" s="18" t="n">
        <f aca="false">IF($H859="",0,ROUND($H859*AdatFaizOran/AdatYilGunSayisi,2))</f>
        <v>0</v>
      </c>
      <c r="J859" s="22"/>
    </row>
    <row r="860" customFormat="false" ht="15" hidden="false" customHeight="false" outlineLevel="0" collapsed="false">
      <c r="A860" s="21"/>
      <c r="B860" s="22"/>
      <c r="C860" s="22"/>
      <c r="D860" s="23"/>
      <c r="E860" s="20" t="str">
        <f aca="false">IF($A860="","",IF($C860="Borç",-$D860,$D860))</f>
        <v/>
      </c>
      <c r="F860" s="18" t="str">
        <f aca="false">IF($A860="","",IFERROR(IF(INDEX(tblOrtak[Ortak Adı],ROW($A860)-ROW(tblOrtak[[#Headers],[Tarih]])-1)=$B860,INDEX(tblOrtak[Bakiye (₺)],ROW($A860)-ROW(tblOrtak[[#Headers],[Tarih]])-1)+$E860,$E860),$E860))</f>
        <v/>
      </c>
      <c r="G860" s="19" t="str">
        <f aca="false">IF($A860="","",IFERROR(IF(INDEX(tblOrtak[Tarih],ROW($A860)-ROW(tblOrtak[[#Headers],[Tarih]])+1)=0,RaporTarihi,INDEX(tblOrtak[Tarih],ROW($A860)-ROW(tblOrtak[[#Headers],[Tarih]])+1))-$A860,RaporTarihi-$A860))</f>
        <v/>
      </c>
      <c r="H860" s="18" t="n">
        <f aca="false">IF($F860="",0,ROUND($F860*$G860,0))</f>
        <v>0</v>
      </c>
      <c r="I860" s="18" t="n">
        <f aca="false">IF($H860="",0,ROUND($H860*AdatFaizOran/AdatYilGunSayisi,2))</f>
        <v>0</v>
      </c>
      <c r="J860" s="22"/>
    </row>
    <row r="861" customFormat="false" ht="15" hidden="false" customHeight="false" outlineLevel="0" collapsed="false">
      <c r="A861" s="21"/>
      <c r="B861" s="22"/>
      <c r="C861" s="22"/>
      <c r="D861" s="23"/>
      <c r="E861" s="20" t="str">
        <f aca="false">IF($A861="","",IF($C861="Borç",-$D861,$D861))</f>
        <v/>
      </c>
      <c r="F861" s="18" t="str">
        <f aca="false">IF($A861="","",IFERROR(IF(INDEX(tblOrtak[Ortak Adı],ROW($A861)-ROW(tblOrtak[[#Headers],[Tarih]])-1)=$B861,INDEX(tblOrtak[Bakiye (₺)],ROW($A861)-ROW(tblOrtak[[#Headers],[Tarih]])-1)+$E861,$E861),$E861))</f>
        <v/>
      </c>
      <c r="G861" s="19" t="str">
        <f aca="false">IF($A861="","",IFERROR(IF(INDEX(tblOrtak[Tarih],ROW($A861)-ROW(tblOrtak[[#Headers],[Tarih]])+1)=0,RaporTarihi,INDEX(tblOrtak[Tarih],ROW($A861)-ROW(tblOrtak[[#Headers],[Tarih]])+1))-$A861,RaporTarihi-$A861))</f>
        <v/>
      </c>
      <c r="H861" s="18" t="n">
        <f aca="false">IF($F861="",0,ROUND($F861*$G861,0))</f>
        <v>0</v>
      </c>
      <c r="I861" s="18" t="n">
        <f aca="false">IF($H861="",0,ROUND($H861*AdatFaizOran/AdatYilGunSayisi,2))</f>
        <v>0</v>
      </c>
      <c r="J861" s="22"/>
    </row>
    <row r="862" customFormat="false" ht="15" hidden="false" customHeight="false" outlineLevel="0" collapsed="false">
      <c r="A862" s="21"/>
      <c r="B862" s="22"/>
      <c r="C862" s="22"/>
      <c r="D862" s="23"/>
      <c r="E862" s="20" t="str">
        <f aca="false">IF($A862="","",IF($C862="Borç",-$D862,$D862))</f>
        <v/>
      </c>
      <c r="F862" s="18" t="str">
        <f aca="false">IF($A862="","",IFERROR(IF(INDEX(tblOrtak[Ortak Adı],ROW($A862)-ROW(tblOrtak[[#Headers],[Tarih]])-1)=$B862,INDEX(tblOrtak[Bakiye (₺)],ROW($A862)-ROW(tblOrtak[[#Headers],[Tarih]])-1)+$E862,$E862),$E862))</f>
        <v/>
      </c>
      <c r="G862" s="19" t="str">
        <f aca="false">IF($A862="","",IFERROR(IF(INDEX(tblOrtak[Tarih],ROW($A862)-ROW(tblOrtak[[#Headers],[Tarih]])+1)=0,RaporTarihi,INDEX(tblOrtak[Tarih],ROW($A862)-ROW(tblOrtak[[#Headers],[Tarih]])+1))-$A862,RaporTarihi-$A862))</f>
        <v/>
      </c>
      <c r="H862" s="18" t="n">
        <f aca="false">IF($F862="",0,ROUND($F862*$G862,0))</f>
        <v>0</v>
      </c>
      <c r="I862" s="18" t="n">
        <f aca="false">IF($H862="",0,ROUND($H862*AdatFaizOran/AdatYilGunSayisi,2))</f>
        <v>0</v>
      </c>
      <c r="J862" s="22"/>
    </row>
    <row r="863" customFormat="false" ht="15" hidden="false" customHeight="false" outlineLevel="0" collapsed="false">
      <c r="A863" s="21"/>
      <c r="B863" s="22"/>
      <c r="C863" s="22"/>
      <c r="D863" s="23"/>
      <c r="E863" s="20" t="str">
        <f aca="false">IF($A863="","",IF($C863="Borç",-$D863,$D863))</f>
        <v/>
      </c>
      <c r="F863" s="18" t="str">
        <f aca="false">IF($A863="","",IFERROR(IF(INDEX(tblOrtak[Ortak Adı],ROW($A863)-ROW(tblOrtak[[#Headers],[Tarih]])-1)=$B863,INDEX(tblOrtak[Bakiye (₺)],ROW($A863)-ROW(tblOrtak[[#Headers],[Tarih]])-1)+$E863,$E863),$E863))</f>
        <v/>
      </c>
      <c r="G863" s="19" t="str">
        <f aca="false">IF($A863="","",IFERROR(IF(INDEX(tblOrtak[Tarih],ROW($A863)-ROW(tblOrtak[[#Headers],[Tarih]])+1)=0,RaporTarihi,INDEX(tblOrtak[Tarih],ROW($A863)-ROW(tblOrtak[[#Headers],[Tarih]])+1))-$A863,RaporTarihi-$A863))</f>
        <v/>
      </c>
      <c r="H863" s="18" t="n">
        <f aca="false">IF($F863="",0,ROUND($F863*$G863,0))</f>
        <v>0</v>
      </c>
      <c r="I863" s="18" t="n">
        <f aca="false">IF($H863="",0,ROUND($H863*AdatFaizOran/AdatYilGunSayisi,2))</f>
        <v>0</v>
      </c>
      <c r="J863" s="22"/>
    </row>
    <row r="864" customFormat="false" ht="15" hidden="false" customHeight="false" outlineLevel="0" collapsed="false">
      <c r="A864" s="21"/>
      <c r="B864" s="22"/>
      <c r="C864" s="22"/>
      <c r="D864" s="23"/>
      <c r="E864" s="20" t="str">
        <f aca="false">IF($A864="","",IF($C864="Borç",-$D864,$D864))</f>
        <v/>
      </c>
      <c r="F864" s="18" t="str">
        <f aca="false">IF($A864="","",IFERROR(IF(INDEX(tblOrtak[Ortak Adı],ROW($A864)-ROW(tblOrtak[[#Headers],[Tarih]])-1)=$B864,INDEX(tblOrtak[Bakiye (₺)],ROW($A864)-ROW(tblOrtak[[#Headers],[Tarih]])-1)+$E864,$E864),$E864))</f>
        <v/>
      </c>
      <c r="G864" s="19" t="str">
        <f aca="false">IF($A864="","",IFERROR(IF(INDEX(tblOrtak[Tarih],ROW($A864)-ROW(tblOrtak[[#Headers],[Tarih]])+1)=0,RaporTarihi,INDEX(tblOrtak[Tarih],ROW($A864)-ROW(tblOrtak[[#Headers],[Tarih]])+1))-$A864,RaporTarihi-$A864))</f>
        <v/>
      </c>
      <c r="H864" s="18" t="n">
        <f aca="false">IF($F864="",0,ROUND($F864*$G864,0))</f>
        <v>0</v>
      </c>
      <c r="I864" s="18" t="n">
        <f aca="false">IF($H864="",0,ROUND($H864*AdatFaizOran/AdatYilGunSayisi,2))</f>
        <v>0</v>
      </c>
      <c r="J864" s="22"/>
    </row>
    <row r="865" customFormat="false" ht="15" hidden="false" customHeight="false" outlineLevel="0" collapsed="false">
      <c r="A865" s="21"/>
      <c r="B865" s="22"/>
      <c r="C865" s="22"/>
      <c r="D865" s="23"/>
      <c r="E865" s="20" t="str">
        <f aca="false">IF($A865="","",IF($C865="Borç",-$D865,$D865))</f>
        <v/>
      </c>
      <c r="F865" s="18" t="str">
        <f aca="false">IF($A865="","",IFERROR(IF(INDEX(tblOrtak[Ortak Adı],ROW($A865)-ROW(tblOrtak[[#Headers],[Tarih]])-1)=$B865,INDEX(tblOrtak[Bakiye (₺)],ROW($A865)-ROW(tblOrtak[[#Headers],[Tarih]])-1)+$E865,$E865),$E865))</f>
        <v/>
      </c>
      <c r="G865" s="19" t="str">
        <f aca="false">IF($A865="","",IFERROR(IF(INDEX(tblOrtak[Tarih],ROW($A865)-ROW(tblOrtak[[#Headers],[Tarih]])+1)=0,RaporTarihi,INDEX(tblOrtak[Tarih],ROW($A865)-ROW(tblOrtak[[#Headers],[Tarih]])+1))-$A865,RaporTarihi-$A865))</f>
        <v/>
      </c>
      <c r="H865" s="18" t="n">
        <f aca="false">IF($F865="",0,ROUND($F865*$G865,0))</f>
        <v>0</v>
      </c>
      <c r="I865" s="18" t="n">
        <f aca="false">IF($H865="",0,ROUND($H865*AdatFaizOran/AdatYilGunSayisi,2))</f>
        <v>0</v>
      </c>
      <c r="J865" s="22"/>
    </row>
    <row r="866" customFormat="false" ht="15" hidden="false" customHeight="false" outlineLevel="0" collapsed="false">
      <c r="A866" s="21"/>
      <c r="B866" s="22"/>
      <c r="C866" s="22"/>
      <c r="D866" s="23"/>
      <c r="E866" s="20" t="str">
        <f aca="false">IF($A866="","",IF($C866="Borç",-$D866,$D866))</f>
        <v/>
      </c>
      <c r="F866" s="18" t="str">
        <f aca="false">IF($A866="","",IFERROR(IF(INDEX(tblOrtak[Ortak Adı],ROW($A866)-ROW(tblOrtak[[#Headers],[Tarih]])-1)=$B866,INDEX(tblOrtak[Bakiye (₺)],ROW($A866)-ROW(tblOrtak[[#Headers],[Tarih]])-1)+$E866,$E866),$E866))</f>
        <v/>
      </c>
      <c r="G866" s="19" t="str">
        <f aca="false">IF($A866="","",IFERROR(IF(INDEX(tblOrtak[Tarih],ROW($A866)-ROW(tblOrtak[[#Headers],[Tarih]])+1)=0,RaporTarihi,INDEX(tblOrtak[Tarih],ROW($A866)-ROW(tblOrtak[[#Headers],[Tarih]])+1))-$A866,RaporTarihi-$A866))</f>
        <v/>
      </c>
      <c r="H866" s="18" t="n">
        <f aca="false">IF($F866="",0,ROUND($F866*$G866,0))</f>
        <v>0</v>
      </c>
      <c r="I866" s="18" t="n">
        <f aca="false">IF($H866="",0,ROUND($H866*AdatFaizOran/AdatYilGunSayisi,2))</f>
        <v>0</v>
      </c>
      <c r="J866" s="22"/>
    </row>
    <row r="867" customFormat="false" ht="15" hidden="false" customHeight="false" outlineLevel="0" collapsed="false">
      <c r="A867" s="21"/>
      <c r="B867" s="22"/>
      <c r="C867" s="22"/>
      <c r="D867" s="23"/>
      <c r="E867" s="20" t="str">
        <f aca="false">IF($A867="","",IF($C867="Borç",-$D867,$D867))</f>
        <v/>
      </c>
      <c r="F867" s="18" t="str">
        <f aca="false">IF($A867="","",IFERROR(IF(INDEX(tblOrtak[Ortak Adı],ROW($A867)-ROW(tblOrtak[[#Headers],[Tarih]])-1)=$B867,INDEX(tblOrtak[Bakiye (₺)],ROW($A867)-ROW(tblOrtak[[#Headers],[Tarih]])-1)+$E867,$E867),$E867))</f>
        <v/>
      </c>
      <c r="G867" s="19" t="str">
        <f aca="false">IF($A867="","",IFERROR(IF(INDEX(tblOrtak[Tarih],ROW($A867)-ROW(tblOrtak[[#Headers],[Tarih]])+1)=0,RaporTarihi,INDEX(tblOrtak[Tarih],ROW($A867)-ROW(tblOrtak[[#Headers],[Tarih]])+1))-$A867,RaporTarihi-$A867))</f>
        <v/>
      </c>
      <c r="H867" s="18" t="n">
        <f aca="false">IF($F867="",0,ROUND($F867*$G867,0))</f>
        <v>0</v>
      </c>
      <c r="I867" s="18" t="n">
        <f aca="false">IF($H867="",0,ROUND($H867*AdatFaizOran/AdatYilGunSayisi,2))</f>
        <v>0</v>
      </c>
      <c r="J867" s="22"/>
    </row>
    <row r="868" customFormat="false" ht="15" hidden="false" customHeight="false" outlineLevel="0" collapsed="false">
      <c r="A868" s="21"/>
      <c r="B868" s="22"/>
      <c r="C868" s="22"/>
      <c r="D868" s="23"/>
      <c r="E868" s="20" t="str">
        <f aca="false">IF($A868="","",IF($C868="Borç",-$D868,$D868))</f>
        <v/>
      </c>
      <c r="F868" s="18" t="str">
        <f aca="false">IF($A868="","",IFERROR(IF(INDEX(tblOrtak[Ortak Adı],ROW($A868)-ROW(tblOrtak[[#Headers],[Tarih]])-1)=$B868,INDEX(tblOrtak[Bakiye (₺)],ROW($A868)-ROW(tblOrtak[[#Headers],[Tarih]])-1)+$E868,$E868),$E868))</f>
        <v/>
      </c>
      <c r="G868" s="19" t="str">
        <f aca="false">IF($A868="","",IFERROR(IF(INDEX(tblOrtak[Tarih],ROW($A868)-ROW(tblOrtak[[#Headers],[Tarih]])+1)=0,RaporTarihi,INDEX(tblOrtak[Tarih],ROW($A868)-ROW(tblOrtak[[#Headers],[Tarih]])+1))-$A868,RaporTarihi-$A868))</f>
        <v/>
      </c>
      <c r="H868" s="18" t="n">
        <f aca="false">IF($F868="",0,ROUND($F868*$G868,0))</f>
        <v>0</v>
      </c>
      <c r="I868" s="18" t="n">
        <f aca="false">IF($H868="",0,ROUND($H868*AdatFaizOran/AdatYilGunSayisi,2))</f>
        <v>0</v>
      </c>
      <c r="J868" s="22"/>
    </row>
    <row r="869" customFormat="false" ht="15" hidden="false" customHeight="false" outlineLevel="0" collapsed="false">
      <c r="A869" s="21"/>
      <c r="B869" s="22"/>
      <c r="C869" s="22"/>
      <c r="D869" s="23"/>
      <c r="E869" s="20" t="str">
        <f aca="false">IF($A869="","",IF($C869="Borç",-$D869,$D869))</f>
        <v/>
      </c>
      <c r="F869" s="18" t="str">
        <f aca="false">IF($A869="","",IFERROR(IF(INDEX(tblOrtak[Ortak Adı],ROW($A869)-ROW(tblOrtak[[#Headers],[Tarih]])-1)=$B869,INDEX(tblOrtak[Bakiye (₺)],ROW($A869)-ROW(tblOrtak[[#Headers],[Tarih]])-1)+$E869,$E869),$E869))</f>
        <v/>
      </c>
      <c r="G869" s="19" t="str">
        <f aca="false">IF($A869="","",IFERROR(IF(INDEX(tblOrtak[Tarih],ROW($A869)-ROW(tblOrtak[[#Headers],[Tarih]])+1)=0,RaporTarihi,INDEX(tblOrtak[Tarih],ROW($A869)-ROW(tblOrtak[[#Headers],[Tarih]])+1))-$A869,RaporTarihi-$A869))</f>
        <v/>
      </c>
      <c r="H869" s="18" t="n">
        <f aca="false">IF($F869="",0,ROUND($F869*$G869,0))</f>
        <v>0</v>
      </c>
      <c r="I869" s="18" t="n">
        <f aca="false">IF($H869="",0,ROUND($H869*AdatFaizOran/AdatYilGunSayisi,2))</f>
        <v>0</v>
      </c>
      <c r="J869" s="22"/>
    </row>
    <row r="870" customFormat="false" ht="15" hidden="false" customHeight="false" outlineLevel="0" collapsed="false">
      <c r="A870" s="21"/>
      <c r="B870" s="22"/>
      <c r="C870" s="22"/>
      <c r="D870" s="23"/>
      <c r="E870" s="20" t="str">
        <f aca="false">IF($A870="","",IF($C870="Borç",-$D870,$D870))</f>
        <v/>
      </c>
      <c r="F870" s="18" t="str">
        <f aca="false">IF($A870="","",IFERROR(IF(INDEX(tblOrtak[Ortak Adı],ROW($A870)-ROW(tblOrtak[[#Headers],[Tarih]])-1)=$B870,INDEX(tblOrtak[Bakiye (₺)],ROW($A870)-ROW(tblOrtak[[#Headers],[Tarih]])-1)+$E870,$E870),$E870))</f>
        <v/>
      </c>
      <c r="G870" s="19" t="str">
        <f aca="false">IF($A870="","",IFERROR(IF(INDEX(tblOrtak[Tarih],ROW($A870)-ROW(tblOrtak[[#Headers],[Tarih]])+1)=0,RaporTarihi,INDEX(tblOrtak[Tarih],ROW($A870)-ROW(tblOrtak[[#Headers],[Tarih]])+1))-$A870,RaporTarihi-$A870))</f>
        <v/>
      </c>
      <c r="H870" s="18" t="n">
        <f aca="false">IF($F870="",0,ROUND($F870*$G870,0))</f>
        <v>0</v>
      </c>
      <c r="I870" s="18" t="n">
        <f aca="false">IF($H870="",0,ROUND($H870*AdatFaizOran/AdatYilGunSayisi,2))</f>
        <v>0</v>
      </c>
      <c r="J870" s="22"/>
    </row>
    <row r="871" customFormat="false" ht="15" hidden="false" customHeight="false" outlineLevel="0" collapsed="false">
      <c r="A871" s="21"/>
      <c r="B871" s="22"/>
      <c r="C871" s="22"/>
      <c r="D871" s="23"/>
      <c r="E871" s="20" t="str">
        <f aca="false">IF($A871="","",IF($C871="Borç",-$D871,$D871))</f>
        <v/>
      </c>
      <c r="F871" s="18" t="str">
        <f aca="false">IF($A871="","",IFERROR(IF(INDEX(tblOrtak[Ortak Adı],ROW($A871)-ROW(tblOrtak[[#Headers],[Tarih]])-1)=$B871,INDEX(tblOrtak[Bakiye (₺)],ROW($A871)-ROW(tblOrtak[[#Headers],[Tarih]])-1)+$E871,$E871),$E871))</f>
        <v/>
      </c>
      <c r="G871" s="19" t="str">
        <f aca="false">IF($A871="","",IFERROR(IF(INDEX(tblOrtak[Tarih],ROW($A871)-ROW(tblOrtak[[#Headers],[Tarih]])+1)=0,RaporTarihi,INDEX(tblOrtak[Tarih],ROW($A871)-ROW(tblOrtak[[#Headers],[Tarih]])+1))-$A871,RaporTarihi-$A871))</f>
        <v/>
      </c>
      <c r="H871" s="18" t="n">
        <f aca="false">IF($F871="",0,ROUND($F871*$G871,0))</f>
        <v>0</v>
      </c>
      <c r="I871" s="18" t="n">
        <f aca="false">IF($H871="",0,ROUND($H871*AdatFaizOran/AdatYilGunSayisi,2))</f>
        <v>0</v>
      </c>
      <c r="J871" s="22"/>
    </row>
    <row r="872" customFormat="false" ht="15" hidden="false" customHeight="false" outlineLevel="0" collapsed="false">
      <c r="A872" s="21"/>
      <c r="B872" s="22"/>
      <c r="C872" s="22"/>
      <c r="D872" s="23"/>
      <c r="E872" s="20" t="str">
        <f aca="false">IF($A872="","",IF($C872="Borç",-$D872,$D872))</f>
        <v/>
      </c>
      <c r="F872" s="18" t="str">
        <f aca="false">IF($A872="","",IFERROR(IF(INDEX(tblOrtak[Ortak Adı],ROW($A872)-ROW(tblOrtak[[#Headers],[Tarih]])-1)=$B872,INDEX(tblOrtak[Bakiye (₺)],ROW($A872)-ROW(tblOrtak[[#Headers],[Tarih]])-1)+$E872,$E872),$E872))</f>
        <v/>
      </c>
      <c r="G872" s="19" t="str">
        <f aca="false">IF($A872="","",IFERROR(IF(INDEX(tblOrtak[Tarih],ROW($A872)-ROW(tblOrtak[[#Headers],[Tarih]])+1)=0,RaporTarihi,INDEX(tblOrtak[Tarih],ROW($A872)-ROW(tblOrtak[[#Headers],[Tarih]])+1))-$A872,RaporTarihi-$A872))</f>
        <v/>
      </c>
      <c r="H872" s="18" t="n">
        <f aca="false">IF($F872="",0,ROUND($F872*$G872,0))</f>
        <v>0</v>
      </c>
      <c r="I872" s="18" t="n">
        <f aca="false">IF($H872="",0,ROUND($H872*AdatFaizOran/AdatYilGunSayisi,2))</f>
        <v>0</v>
      </c>
      <c r="J872" s="22"/>
    </row>
    <row r="873" customFormat="false" ht="15" hidden="false" customHeight="false" outlineLevel="0" collapsed="false">
      <c r="A873" s="21"/>
      <c r="B873" s="22"/>
      <c r="C873" s="22"/>
      <c r="D873" s="23"/>
      <c r="E873" s="20" t="str">
        <f aca="false">IF($A873="","",IF($C873="Borç",-$D873,$D873))</f>
        <v/>
      </c>
      <c r="F873" s="18" t="str">
        <f aca="false">IF($A873="","",IFERROR(IF(INDEX(tblOrtak[Ortak Adı],ROW($A873)-ROW(tblOrtak[[#Headers],[Tarih]])-1)=$B873,INDEX(tblOrtak[Bakiye (₺)],ROW($A873)-ROW(tblOrtak[[#Headers],[Tarih]])-1)+$E873,$E873),$E873))</f>
        <v/>
      </c>
      <c r="G873" s="19" t="str">
        <f aca="false">IF($A873="","",IFERROR(IF(INDEX(tblOrtak[Tarih],ROW($A873)-ROW(tblOrtak[[#Headers],[Tarih]])+1)=0,RaporTarihi,INDEX(tblOrtak[Tarih],ROW($A873)-ROW(tblOrtak[[#Headers],[Tarih]])+1))-$A873,RaporTarihi-$A873))</f>
        <v/>
      </c>
      <c r="H873" s="18" t="n">
        <f aca="false">IF($F873="",0,ROUND($F873*$G873,0))</f>
        <v>0</v>
      </c>
      <c r="I873" s="18" t="n">
        <f aca="false">IF($H873="",0,ROUND($H873*AdatFaizOran/AdatYilGunSayisi,2))</f>
        <v>0</v>
      </c>
      <c r="J873" s="22"/>
    </row>
    <row r="874" customFormat="false" ht="15" hidden="false" customHeight="false" outlineLevel="0" collapsed="false">
      <c r="A874" s="21"/>
      <c r="B874" s="22"/>
      <c r="C874" s="22"/>
      <c r="D874" s="23"/>
      <c r="E874" s="20" t="str">
        <f aca="false">IF($A874="","",IF($C874="Borç",-$D874,$D874))</f>
        <v/>
      </c>
      <c r="F874" s="18" t="str">
        <f aca="false">IF($A874="","",IFERROR(IF(INDEX(tblOrtak[Ortak Adı],ROW($A874)-ROW(tblOrtak[[#Headers],[Tarih]])-1)=$B874,INDEX(tblOrtak[Bakiye (₺)],ROW($A874)-ROW(tblOrtak[[#Headers],[Tarih]])-1)+$E874,$E874),$E874))</f>
        <v/>
      </c>
      <c r="G874" s="19" t="str">
        <f aca="false">IF($A874="","",IFERROR(IF(INDEX(tblOrtak[Tarih],ROW($A874)-ROW(tblOrtak[[#Headers],[Tarih]])+1)=0,RaporTarihi,INDEX(tblOrtak[Tarih],ROW($A874)-ROW(tblOrtak[[#Headers],[Tarih]])+1))-$A874,RaporTarihi-$A874))</f>
        <v/>
      </c>
      <c r="H874" s="18" t="n">
        <f aca="false">IF($F874="",0,ROUND($F874*$G874,0))</f>
        <v>0</v>
      </c>
      <c r="I874" s="18" t="n">
        <f aca="false">IF($H874="",0,ROUND($H874*AdatFaizOran/AdatYilGunSayisi,2))</f>
        <v>0</v>
      </c>
      <c r="J874" s="22"/>
    </row>
    <row r="875" customFormat="false" ht="15" hidden="false" customHeight="false" outlineLevel="0" collapsed="false">
      <c r="A875" s="21"/>
      <c r="B875" s="22"/>
      <c r="C875" s="22"/>
      <c r="D875" s="23"/>
      <c r="E875" s="20" t="str">
        <f aca="false">IF($A875="","",IF($C875="Borç",-$D875,$D875))</f>
        <v/>
      </c>
      <c r="F875" s="18" t="str">
        <f aca="false">IF($A875="","",IFERROR(IF(INDEX(tblOrtak[Ortak Adı],ROW($A875)-ROW(tblOrtak[[#Headers],[Tarih]])-1)=$B875,INDEX(tblOrtak[Bakiye (₺)],ROW($A875)-ROW(tblOrtak[[#Headers],[Tarih]])-1)+$E875,$E875),$E875))</f>
        <v/>
      </c>
      <c r="G875" s="19" t="str">
        <f aca="false">IF($A875="","",IFERROR(IF(INDEX(tblOrtak[Tarih],ROW($A875)-ROW(tblOrtak[[#Headers],[Tarih]])+1)=0,RaporTarihi,INDEX(tblOrtak[Tarih],ROW($A875)-ROW(tblOrtak[[#Headers],[Tarih]])+1))-$A875,RaporTarihi-$A875))</f>
        <v/>
      </c>
      <c r="H875" s="18" t="n">
        <f aca="false">IF($F875="",0,ROUND($F875*$G875,0))</f>
        <v>0</v>
      </c>
      <c r="I875" s="18" t="n">
        <f aca="false">IF($H875="",0,ROUND($H875*AdatFaizOran/AdatYilGunSayisi,2))</f>
        <v>0</v>
      </c>
      <c r="J875" s="22"/>
    </row>
    <row r="876" customFormat="false" ht="15" hidden="false" customHeight="false" outlineLevel="0" collapsed="false">
      <c r="A876" s="21"/>
      <c r="B876" s="22"/>
      <c r="C876" s="22"/>
      <c r="D876" s="23"/>
      <c r="E876" s="20" t="str">
        <f aca="false">IF($A876="","",IF($C876="Borç",-$D876,$D876))</f>
        <v/>
      </c>
      <c r="F876" s="18" t="str">
        <f aca="false">IF($A876="","",IFERROR(IF(INDEX(tblOrtak[Ortak Adı],ROW($A876)-ROW(tblOrtak[[#Headers],[Tarih]])-1)=$B876,INDEX(tblOrtak[Bakiye (₺)],ROW($A876)-ROW(tblOrtak[[#Headers],[Tarih]])-1)+$E876,$E876),$E876))</f>
        <v/>
      </c>
      <c r="G876" s="19" t="str">
        <f aca="false">IF($A876="","",IFERROR(IF(INDEX(tblOrtak[Tarih],ROW($A876)-ROW(tblOrtak[[#Headers],[Tarih]])+1)=0,RaporTarihi,INDEX(tblOrtak[Tarih],ROW($A876)-ROW(tblOrtak[[#Headers],[Tarih]])+1))-$A876,RaporTarihi-$A876))</f>
        <v/>
      </c>
      <c r="H876" s="18" t="n">
        <f aca="false">IF($F876="",0,ROUND($F876*$G876,0))</f>
        <v>0</v>
      </c>
      <c r="I876" s="18" t="n">
        <f aca="false">IF($H876="",0,ROUND($H876*AdatFaizOran/AdatYilGunSayisi,2))</f>
        <v>0</v>
      </c>
      <c r="J876" s="22"/>
    </row>
    <row r="877" customFormat="false" ht="15" hidden="false" customHeight="false" outlineLevel="0" collapsed="false">
      <c r="A877" s="21"/>
      <c r="B877" s="22"/>
      <c r="C877" s="22"/>
      <c r="D877" s="23"/>
      <c r="E877" s="20" t="str">
        <f aca="false">IF($A877="","",IF($C877="Borç",-$D877,$D877))</f>
        <v/>
      </c>
      <c r="F877" s="18" t="str">
        <f aca="false">IF($A877="","",IFERROR(IF(INDEX(tblOrtak[Ortak Adı],ROW($A877)-ROW(tblOrtak[[#Headers],[Tarih]])-1)=$B877,INDEX(tblOrtak[Bakiye (₺)],ROW($A877)-ROW(tblOrtak[[#Headers],[Tarih]])-1)+$E877,$E877),$E877))</f>
        <v/>
      </c>
      <c r="G877" s="19" t="str">
        <f aca="false">IF($A877="","",IFERROR(IF(INDEX(tblOrtak[Tarih],ROW($A877)-ROW(tblOrtak[[#Headers],[Tarih]])+1)=0,RaporTarihi,INDEX(tblOrtak[Tarih],ROW($A877)-ROW(tblOrtak[[#Headers],[Tarih]])+1))-$A877,RaporTarihi-$A877))</f>
        <v/>
      </c>
      <c r="H877" s="18" t="n">
        <f aca="false">IF($F877="",0,ROUND($F877*$G877,0))</f>
        <v>0</v>
      </c>
      <c r="I877" s="18" t="n">
        <f aca="false">IF($H877="",0,ROUND($H877*AdatFaizOran/AdatYilGunSayisi,2))</f>
        <v>0</v>
      </c>
      <c r="J877" s="22"/>
    </row>
    <row r="878" customFormat="false" ht="15" hidden="false" customHeight="false" outlineLevel="0" collapsed="false">
      <c r="A878" s="21"/>
      <c r="B878" s="22"/>
      <c r="C878" s="22"/>
      <c r="D878" s="23"/>
      <c r="E878" s="20" t="str">
        <f aca="false">IF($A878="","",IF($C878="Borç",-$D878,$D878))</f>
        <v/>
      </c>
      <c r="F878" s="18" t="str">
        <f aca="false">IF($A878="","",IFERROR(IF(INDEX(tblOrtak[Ortak Adı],ROW($A878)-ROW(tblOrtak[[#Headers],[Tarih]])-1)=$B878,INDEX(tblOrtak[Bakiye (₺)],ROW($A878)-ROW(tblOrtak[[#Headers],[Tarih]])-1)+$E878,$E878),$E878))</f>
        <v/>
      </c>
      <c r="G878" s="19" t="str">
        <f aca="false">IF($A878="","",IFERROR(IF(INDEX(tblOrtak[Tarih],ROW($A878)-ROW(tblOrtak[[#Headers],[Tarih]])+1)=0,RaporTarihi,INDEX(tblOrtak[Tarih],ROW($A878)-ROW(tblOrtak[[#Headers],[Tarih]])+1))-$A878,RaporTarihi-$A878))</f>
        <v/>
      </c>
      <c r="H878" s="18" t="n">
        <f aca="false">IF($F878="",0,ROUND($F878*$G878,0))</f>
        <v>0</v>
      </c>
      <c r="I878" s="18" t="n">
        <f aca="false">IF($H878="",0,ROUND($H878*AdatFaizOran/AdatYilGunSayisi,2))</f>
        <v>0</v>
      </c>
      <c r="J878" s="22"/>
    </row>
    <row r="879" customFormat="false" ht="15" hidden="false" customHeight="false" outlineLevel="0" collapsed="false">
      <c r="A879" s="21"/>
      <c r="B879" s="22"/>
      <c r="C879" s="22"/>
      <c r="D879" s="23"/>
      <c r="E879" s="20" t="str">
        <f aca="false">IF($A879="","",IF($C879="Borç",-$D879,$D879))</f>
        <v/>
      </c>
      <c r="F879" s="18" t="str">
        <f aca="false">IF($A879="","",IFERROR(IF(INDEX(tblOrtak[Ortak Adı],ROW($A879)-ROW(tblOrtak[[#Headers],[Tarih]])-1)=$B879,INDEX(tblOrtak[Bakiye (₺)],ROW($A879)-ROW(tblOrtak[[#Headers],[Tarih]])-1)+$E879,$E879),$E879))</f>
        <v/>
      </c>
      <c r="G879" s="19" t="str">
        <f aca="false">IF($A879="","",IFERROR(IF(INDEX(tblOrtak[Tarih],ROW($A879)-ROW(tblOrtak[[#Headers],[Tarih]])+1)=0,RaporTarihi,INDEX(tblOrtak[Tarih],ROW($A879)-ROW(tblOrtak[[#Headers],[Tarih]])+1))-$A879,RaporTarihi-$A879))</f>
        <v/>
      </c>
      <c r="H879" s="18" t="n">
        <f aca="false">IF($F879="",0,ROUND($F879*$G879,0))</f>
        <v>0</v>
      </c>
      <c r="I879" s="18" t="n">
        <f aca="false">IF($H879="",0,ROUND($H879*AdatFaizOran/AdatYilGunSayisi,2))</f>
        <v>0</v>
      </c>
      <c r="J879" s="22"/>
    </row>
    <row r="880" customFormat="false" ht="15" hidden="false" customHeight="false" outlineLevel="0" collapsed="false">
      <c r="A880" s="21"/>
      <c r="B880" s="22"/>
      <c r="C880" s="22"/>
      <c r="D880" s="23"/>
      <c r="E880" s="20" t="str">
        <f aca="false">IF($A880="","",IF($C880="Borç",-$D880,$D880))</f>
        <v/>
      </c>
      <c r="F880" s="18" t="str">
        <f aca="false">IF($A880="","",IFERROR(IF(INDEX(tblOrtak[Ortak Adı],ROW($A880)-ROW(tblOrtak[[#Headers],[Tarih]])-1)=$B880,INDEX(tblOrtak[Bakiye (₺)],ROW($A880)-ROW(tblOrtak[[#Headers],[Tarih]])-1)+$E880,$E880),$E880))</f>
        <v/>
      </c>
      <c r="G880" s="19" t="str">
        <f aca="false">IF($A880="","",IFERROR(IF(INDEX(tblOrtak[Tarih],ROW($A880)-ROW(tblOrtak[[#Headers],[Tarih]])+1)=0,RaporTarihi,INDEX(tblOrtak[Tarih],ROW($A880)-ROW(tblOrtak[[#Headers],[Tarih]])+1))-$A880,RaporTarihi-$A880))</f>
        <v/>
      </c>
      <c r="H880" s="18" t="n">
        <f aca="false">IF($F880="",0,ROUND($F880*$G880,0))</f>
        <v>0</v>
      </c>
      <c r="I880" s="18" t="n">
        <f aca="false">IF($H880="",0,ROUND($H880*AdatFaizOran/AdatYilGunSayisi,2))</f>
        <v>0</v>
      </c>
      <c r="J880" s="22"/>
    </row>
    <row r="881" customFormat="false" ht="15" hidden="false" customHeight="false" outlineLevel="0" collapsed="false">
      <c r="A881" s="21"/>
      <c r="B881" s="22"/>
      <c r="C881" s="22"/>
      <c r="D881" s="23"/>
      <c r="E881" s="20" t="str">
        <f aca="false">IF($A881="","",IF($C881="Borç",-$D881,$D881))</f>
        <v/>
      </c>
      <c r="F881" s="18" t="str">
        <f aca="false">IF($A881="","",IFERROR(IF(INDEX(tblOrtak[Ortak Adı],ROW($A881)-ROW(tblOrtak[[#Headers],[Tarih]])-1)=$B881,INDEX(tblOrtak[Bakiye (₺)],ROW($A881)-ROW(tblOrtak[[#Headers],[Tarih]])-1)+$E881,$E881),$E881))</f>
        <v/>
      </c>
      <c r="G881" s="19" t="str">
        <f aca="false">IF($A881="","",IFERROR(IF(INDEX(tblOrtak[Tarih],ROW($A881)-ROW(tblOrtak[[#Headers],[Tarih]])+1)=0,RaporTarihi,INDEX(tblOrtak[Tarih],ROW($A881)-ROW(tblOrtak[[#Headers],[Tarih]])+1))-$A881,RaporTarihi-$A881))</f>
        <v/>
      </c>
      <c r="H881" s="18" t="n">
        <f aca="false">IF($F881="",0,ROUND($F881*$G881,0))</f>
        <v>0</v>
      </c>
      <c r="I881" s="18" t="n">
        <f aca="false">IF($H881="",0,ROUND($H881*AdatFaizOran/AdatYilGunSayisi,2))</f>
        <v>0</v>
      </c>
      <c r="J881" s="22"/>
    </row>
    <row r="882" customFormat="false" ht="15" hidden="false" customHeight="false" outlineLevel="0" collapsed="false">
      <c r="A882" s="21"/>
      <c r="B882" s="22"/>
      <c r="C882" s="22"/>
      <c r="D882" s="23"/>
      <c r="E882" s="20" t="str">
        <f aca="false">IF($A882="","",IF($C882="Borç",-$D882,$D882))</f>
        <v/>
      </c>
      <c r="F882" s="18" t="str">
        <f aca="false">IF($A882="","",IFERROR(IF(INDEX(tblOrtak[Ortak Adı],ROW($A882)-ROW(tblOrtak[[#Headers],[Tarih]])-1)=$B882,INDEX(tblOrtak[Bakiye (₺)],ROW($A882)-ROW(tblOrtak[[#Headers],[Tarih]])-1)+$E882,$E882),$E882))</f>
        <v/>
      </c>
      <c r="G882" s="19" t="str">
        <f aca="false">IF($A882="","",IFERROR(IF(INDEX(tblOrtak[Tarih],ROW($A882)-ROW(tblOrtak[[#Headers],[Tarih]])+1)=0,RaporTarihi,INDEX(tblOrtak[Tarih],ROW($A882)-ROW(tblOrtak[[#Headers],[Tarih]])+1))-$A882,RaporTarihi-$A882))</f>
        <v/>
      </c>
      <c r="H882" s="18" t="n">
        <f aca="false">IF($F882="",0,ROUND($F882*$G882,0))</f>
        <v>0</v>
      </c>
      <c r="I882" s="18" t="n">
        <f aca="false">IF($H882="",0,ROUND($H882*AdatFaizOran/AdatYilGunSayisi,2))</f>
        <v>0</v>
      </c>
      <c r="J882" s="22"/>
    </row>
    <row r="883" customFormat="false" ht="15" hidden="false" customHeight="false" outlineLevel="0" collapsed="false">
      <c r="A883" s="21"/>
      <c r="B883" s="22"/>
      <c r="C883" s="22"/>
      <c r="D883" s="23"/>
      <c r="E883" s="20" t="str">
        <f aca="false">IF($A883="","",IF($C883="Borç",-$D883,$D883))</f>
        <v/>
      </c>
      <c r="F883" s="18" t="str">
        <f aca="false">IF($A883="","",IFERROR(IF(INDEX(tblOrtak[Ortak Adı],ROW($A883)-ROW(tblOrtak[[#Headers],[Tarih]])-1)=$B883,INDEX(tblOrtak[Bakiye (₺)],ROW($A883)-ROW(tblOrtak[[#Headers],[Tarih]])-1)+$E883,$E883),$E883))</f>
        <v/>
      </c>
      <c r="G883" s="19" t="str">
        <f aca="false">IF($A883="","",IFERROR(IF(INDEX(tblOrtak[Tarih],ROW($A883)-ROW(tblOrtak[[#Headers],[Tarih]])+1)=0,RaporTarihi,INDEX(tblOrtak[Tarih],ROW($A883)-ROW(tblOrtak[[#Headers],[Tarih]])+1))-$A883,RaporTarihi-$A883))</f>
        <v/>
      </c>
      <c r="H883" s="18" t="n">
        <f aca="false">IF($F883="",0,ROUND($F883*$G883,0))</f>
        <v>0</v>
      </c>
      <c r="I883" s="18" t="n">
        <f aca="false">IF($H883="",0,ROUND($H883*AdatFaizOran/AdatYilGunSayisi,2))</f>
        <v>0</v>
      </c>
      <c r="J883" s="22"/>
    </row>
    <row r="884" customFormat="false" ht="15" hidden="false" customHeight="false" outlineLevel="0" collapsed="false">
      <c r="A884" s="21"/>
      <c r="B884" s="22"/>
      <c r="C884" s="22"/>
      <c r="D884" s="23"/>
      <c r="E884" s="20" t="str">
        <f aca="false">IF($A884="","",IF($C884="Borç",-$D884,$D884))</f>
        <v/>
      </c>
      <c r="F884" s="18" t="str">
        <f aca="false">IF($A884="","",IFERROR(IF(INDEX(tblOrtak[Ortak Adı],ROW($A884)-ROW(tblOrtak[[#Headers],[Tarih]])-1)=$B884,INDEX(tblOrtak[Bakiye (₺)],ROW($A884)-ROW(tblOrtak[[#Headers],[Tarih]])-1)+$E884,$E884),$E884))</f>
        <v/>
      </c>
      <c r="G884" s="19" t="str">
        <f aca="false">IF($A884="","",IFERROR(IF(INDEX(tblOrtak[Tarih],ROW($A884)-ROW(tblOrtak[[#Headers],[Tarih]])+1)=0,RaporTarihi,INDEX(tblOrtak[Tarih],ROW($A884)-ROW(tblOrtak[[#Headers],[Tarih]])+1))-$A884,RaporTarihi-$A884))</f>
        <v/>
      </c>
      <c r="H884" s="18" t="n">
        <f aca="false">IF($F884="",0,ROUND($F884*$G884,0))</f>
        <v>0</v>
      </c>
      <c r="I884" s="18" t="n">
        <f aca="false">IF($H884="",0,ROUND($H884*AdatFaizOran/AdatYilGunSayisi,2))</f>
        <v>0</v>
      </c>
      <c r="J884" s="22"/>
    </row>
    <row r="885" customFormat="false" ht="15" hidden="false" customHeight="false" outlineLevel="0" collapsed="false">
      <c r="A885" s="21"/>
      <c r="B885" s="22"/>
      <c r="C885" s="22"/>
      <c r="D885" s="23"/>
      <c r="E885" s="20" t="str">
        <f aca="false">IF($A885="","",IF($C885="Borç",-$D885,$D885))</f>
        <v/>
      </c>
      <c r="F885" s="18" t="str">
        <f aca="false">IF($A885="","",IFERROR(IF(INDEX(tblOrtak[Ortak Adı],ROW($A885)-ROW(tblOrtak[[#Headers],[Tarih]])-1)=$B885,INDEX(tblOrtak[Bakiye (₺)],ROW($A885)-ROW(tblOrtak[[#Headers],[Tarih]])-1)+$E885,$E885),$E885))</f>
        <v/>
      </c>
      <c r="G885" s="19" t="str">
        <f aca="false">IF($A885="","",IFERROR(IF(INDEX(tblOrtak[Tarih],ROW($A885)-ROW(tblOrtak[[#Headers],[Tarih]])+1)=0,RaporTarihi,INDEX(tblOrtak[Tarih],ROW($A885)-ROW(tblOrtak[[#Headers],[Tarih]])+1))-$A885,RaporTarihi-$A885))</f>
        <v/>
      </c>
      <c r="H885" s="18" t="n">
        <f aca="false">IF($F885="",0,ROUND($F885*$G885,0))</f>
        <v>0</v>
      </c>
      <c r="I885" s="18" t="n">
        <f aca="false">IF($H885="",0,ROUND($H885*AdatFaizOran/AdatYilGunSayisi,2))</f>
        <v>0</v>
      </c>
      <c r="J885" s="22"/>
    </row>
    <row r="886" customFormat="false" ht="15" hidden="false" customHeight="false" outlineLevel="0" collapsed="false">
      <c r="A886" s="21"/>
      <c r="B886" s="22"/>
      <c r="C886" s="22"/>
      <c r="D886" s="23"/>
      <c r="E886" s="20" t="str">
        <f aca="false">IF($A886="","",IF($C886="Borç",-$D886,$D886))</f>
        <v/>
      </c>
      <c r="F886" s="18" t="str">
        <f aca="false">IF($A886="","",IFERROR(IF(INDEX(tblOrtak[Ortak Adı],ROW($A886)-ROW(tblOrtak[[#Headers],[Tarih]])-1)=$B886,INDEX(tblOrtak[Bakiye (₺)],ROW($A886)-ROW(tblOrtak[[#Headers],[Tarih]])-1)+$E886,$E886),$E886))</f>
        <v/>
      </c>
      <c r="G886" s="19" t="str">
        <f aca="false">IF($A886="","",IFERROR(IF(INDEX(tblOrtak[Tarih],ROW($A886)-ROW(tblOrtak[[#Headers],[Tarih]])+1)=0,RaporTarihi,INDEX(tblOrtak[Tarih],ROW($A886)-ROW(tblOrtak[[#Headers],[Tarih]])+1))-$A886,RaporTarihi-$A886))</f>
        <v/>
      </c>
      <c r="H886" s="18" t="n">
        <f aca="false">IF($F886="",0,ROUND($F886*$G886,0))</f>
        <v>0</v>
      </c>
      <c r="I886" s="18" t="n">
        <f aca="false">IF($H886="",0,ROUND($H886*AdatFaizOran/AdatYilGunSayisi,2))</f>
        <v>0</v>
      </c>
      <c r="J886" s="22"/>
    </row>
    <row r="887" customFormat="false" ht="15" hidden="false" customHeight="false" outlineLevel="0" collapsed="false">
      <c r="A887" s="21"/>
      <c r="B887" s="22"/>
      <c r="C887" s="22"/>
      <c r="D887" s="23"/>
      <c r="E887" s="20" t="str">
        <f aca="false">IF($A887="","",IF($C887="Borç",-$D887,$D887))</f>
        <v/>
      </c>
      <c r="F887" s="18" t="str">
        <f aca="false">IF($A887="","",IFERROR(IF(INDEX(tblOrtak[Ortak Adı],ROW($A887)-ROW(tblOrtak[[#Headers],[Tarih]])-1)=$B887,INDEX(tblOrtak[Bakiye (₺)],ROW($A887)-ROW(tblOrtak[[#Headers],[Tarih]])-1)+$E887,$E887),$E887))</f>
        <v/>
      </c>
      <c r="G887" s="19" t="str">
        <f aca="false">IF($A887="","",IFERROR(IF(INDEX(tblOrtak[Tarih],ROW($A887)-ROW(tblOrtak[[#Headers],[Tarih]])+1)=0,RaporTarihi,INDEX(tblOrtak[Tarih],ROW($A887)-ROW(tblOrtak[[#Headers],[Tarih]])+1))-$A887,RaporTarihi-$A887))</f>
        <v/>
      </c>
      <c r="H887" s="18" t="n">
        <f aca="false">IF($F887="",0,ROUND($F887*$G887,0))</f>
        <v>0</v>
      </c>
      <c r="I887" s="18" t="n">
        <f aca="false">IF($H887="",0,ROUND($H887*AdatFaizOran/AdatYilGunSayisi,2))</f>
        <v>0</v>
      </c>
      <c r="J887" s="22"/>
    </row>
    <row r="888" customFormat="false" ht="15" hidden="false" customHeight="false" outlineLevel="0" collapsed="false">
      <c r="A888" s="21"/>
      <c r="B888" s="22"/>
      <c r="C888" s="22"/>
      <c r="D888" s="23"/>
      <c r="E888" s="20" t="str">
        <f aca="false">IF($A888="","",IF($C888="Borç",-$D888,$D888))</f>
        <v/>
      </c>
      <c r="F888" s="18" t="str">
        <f aca="false">IF($A888="","",IFERROR(IF(INDEX(tblOrtak[Ortak Adı],ROW($A888)-ROW(tblOrtak[[#Headers],[Tarih]])-1)=$B888,INDEX(tblOrtak[Bakiye (₺)],ROW($A888)-ROW(tblOrtak[[#Headers],[Tarih]])-1)+$E888,$E888),$E888))</f>
        <v/>
      </c>
      <c r="G888" s="19" t="str">
        <f aca="false">IF($A888="","",IFERROR(IF(INDEX(tblOrtak[Tarih],ROW($A888)-ROW(tblOrtak[[#Headers],[Tarih]])+1)=0,RaporTarihi,INDEX(tblOrtak[Tarih],ROW($A888)-ROW(tblOrtak[[#Headers],[Tarih]])+1))-$A888,RaporTarihi-$A888))</f>
        <v/>
      </c>
      <c r="H888" s="18" t="n">
        <f aca="false">IF($F888="",0,ROUND($F888*$G888,0))</f>
        <v>0</v>
      </c>
      <c r="I888" s="18" t="n">
        <f aca="false">IF($H888="",0,ROUND($H888*AdatFaizOran/AdatYilGunSayisi,2))</f>
        <v>0</v>
      </c>
      <c r="J888" s="22"/>
    </row>
    <row r="889" customFormat="false" ht="15" hidden="false" customHeight="false" outlineLevel="0" collapsed="false">
      <c r="A889" s="21"/>
      <c r="B889" s="22"/>
      <c r="C889" s="22"/>
      <c r="D889" s="23"/>
      <c r="E889" s="20" t="str">
        <f aca="false">IF($A889="","",IF($C889="Borç",-$D889,$D889))</f>
        <v/>
      </c>
      <c r="F889" s="18" t="str">
        <f aca="false">IF($A889="","",IFERROR(IF(INDEX(tblOrtak[Ortak Adı],ROW($A889)-ROW(tblOrtak[[#Headers],[Tarih]])-1)=$B889,INDEX(tblOrtak[Bakiye (₺)],ROW($A889)-ROW(tblOrtak[[#Headers],[Tarih]])-1)+$E889,$E889),$E889))</f>
        <v/>
      </c>
      <c r="G889" s="19" t="str">
        <f aca="false">IF($A889="","",IFERROR(IF(INDEX(tblOrtak[Tarih],ROW($A889)-ROW(tblOrtak[[#Headers],[Tarih]])+1)=0,RaporTarihi,INDEX(tblOrtak[Tarih],ROW($A889)-ROW(tblOrtak[[#Headers],[Tarih]])+1))-$A889,RaporTarihi-$A889))</f>
        <v/>
      </c>
      <c r="H889" s="18" t="n">
        <f aca="false">IF($F889="",0,ROUND($F889*$G889,0))</f>
        <v>0</v>
      </c>
      <c r="I889" s="18" t="n">
        <f aca="false">IF($H889="",0,ROUND($H889*AdatFaizOran/AdatYilGunSayisi,2))</f>
        <v>0</v>
      </c>
      <c r="J889" s="22"/>
    </row>
    <row r="890" customFormat="false" ht="15" hidden="false" customHeight="false" outlineLevel="0" collapsed="false">
      <c r="A890" s="21"/>
      <c r="B890" s="22"/>
      <c r="C890" s="22"/>
      <c r="D890" s="23"/>
      <c r="E890" s="20" t="str">
        <f aca="false">IF($A890="","",IF($C890="Borç",-$D890,$D890))</f>
        <v/>
      </c>
      <c r="F890" s="18" t="str">
        <f aca="false">IF($A890="","",IFERROR(IF(INDEX(tblOrtak[Ortak Adı],ROW($A890)-ROW(tblOrtak[[#Headers],[Tarih]])-1)=$B890,INDEX(tblOrtak[Bakiye (₺)],ROW($A890)-ROW(tblOrtak[[#Headers],[Tarih]])-1)+$E890,$E890),$E890))</f>
        <v/>
      </c>
      <c r="G890" s="19" t="str">
        <f aca="false">IF($A890="","",IFERROR(IF(INDEX(tblOrtak[Tarih],ROW($A890)-ROW(tblOrtak[[#Headers],[Tarih]])+1)=0,RaporTarihi,INDEX(tblOrtak[Tarih],ROW($A890)-ROW(tblOrtak[[#Headers],[Tarih]])+1))-$A890,RaporTarihi-$A890))</f>
        <v/>
      </c>
      <c r="H890" s="18" t="n">
        <f aca="false">IF($F890="",0,ROUND($F890*$G890,0))</f>
        <v>0</v>
      </c>
      <c r="I890" s="18" t="n">
        <f aca="false">IF($H890="",0,ROUND($H890*AdatFaizOran/AdatYilGunSayisi,2))</f>
        <v>0</v>
      </c>
      <c r="J890" s="22"/>
    </row>
    <row r="891" customFormat="false" ht="15" hidden="false" customHeight="false" outlineLevel="0" collapsed="false">
      <c r="A891" s="21"/>
      <c r="B891" s="22"/>
      <c r="C891" s="22"/>
      <c r="D891" s="23"/>
      <c r="E891" s="20" t="str">
        <f aca="false">IF($A891="","",IF($C891="Borç",-$D891,$D891))</f>
        <v/>
      </c>
      <c r="F891" s="18" t="str">
        <f aca="false">IF($A891="","",IFERROR(IF(INDEX(tblOrtak[Ortak Adı],ROW($A891)-ROW(tblOrtak[[#Headers],[Tarih]])-1)=$B891,INDEX(tblOrtak[Bakiye (₺)],ROW($A891)-ROW(tblOrtak[[#Headers],[Tarih]])-1)+$E891,$E891),$E891))</f>
        <v/>
      </c>
      <c r="G891" s="19" t="str">
        <f aca="false">IF($A891="","",IFERROR(IF(INDEX(tblOrtak[Tarih],ROW($A891)-ROW(tblOrtak[[#Headers],[Tarih]])+1)=0,RaporTarihi,INDEX(tblOrtak[Tarih],ROW($A891)-ROW(tblOrtak[[#Headers],[Tarih]])+1))-$A891,RaporTarihi-$A891))</f>
        <v/>
      </c>
      <c r="H891" s="18" t="n">
        <f aca="false">IF($F891="",0,ROUND($F891*$G891,0))</f>
        <v>0</v>
      </c>
      <c r="I891" s="18" t="n">
        <f aca="false">IF($H891="",0,ROUND($H891*AdatFaizOran/AdatYilGunSayisi,2))</f>
        <v>0</v>
      </c>
      <c r="J891" s="22"/>
    </row>
    <row r="892" customFormat="false" ht="15" hidden="false" customHeight="false" outlineLevel="0" collapsed="false">
      <c r="A892" s="21"/>
      <c r="B892" s="22"/>
      <c r="C892" s="22"/>
      <c r="D892" s="23"/>
      <c r="E892" s="20" t="str">
        <f aca="false">IF($A892="","",IF($C892="Borç",-$D892,$D892))</f>
        <v/>
      </c>
      <c r="F892" s="18" t="str">
        <f aca="false">IF($A892="","",IFERROR(IF(INDEX(tblOrtak[Ortak Adı],ROW($A892)-ROW(tblOrtak[[#Headers],[Tarih]])-1)=$B892,INDEX(tblOrtak[Bakiye (₺)],ROW($A892)-ROW(tblOrtak[[#Headers],[Tarih]])-1)+$E892,$E892),$E892))</f>
        <v/>
      </c>
      <c r="G892" s="19" t="str">
        <f aca="false">IF($A892="","",IFERROR(IF(INDEX(tblOrtak[Tarih],ROW($A892)-ROW(tblOrtak[[#Headers],[Tarih]])+1)=0,RaporTarihi,INDEX(tblOrtak[Tarih],ROW($A892)-ROW(tblOrtak[[#Headers],[Tarih]])+1))-$A892,RaporTarihi-$A892))</f>
        <v/>
      </c>
      <c r="H892" s="18" t="n">
        <f aca="false">IF($F892="",0,ROUND($F892*$G892,0))</f>
        <v>0</v>
      </c>
      <c r="I892" s="18" t="n">
        <f aca="false">IF($H892="",0,ROUND($H892*AdatFaizOran/AdatYilGunSayisi,2))</f>
        <v>0</v>
      </c>
      <c r="J892" s="22"/>
    </row>
    <row r="893" customFormat="false" ht="15" hidden="false" customHeight="false" outlineLevel="0" collapsed="false">
      <c r="A893" s="21"/>
      <c r="B893" s="22"/>
      <c r="C893" s="22"/>
      <c r="D893" s="23"/>
      <c r="E893" s="20" t="str">
        <f aca="false">IF($A893="","",IF($C893="Borç",-$D893,$D893))</f>
        <v/>
      </c>
      <c r="F893" s="18" t="str">
        <f aca="false">IF($A893="","",IFERROR(IF(INDEX(tblOrtak[Ortak Adı],ROW($A893)-ROW(tblOrtak[[#Headers],[Tarih]])-1)=$B893,INDEX(tblOrtak[Bakiye (₺)],ROW($A893)-ROW(tblOrtak[[#Headers],[Tarih]])-1)+$E893,$E893),$E893))</f>
        <v/>
      </c>
      <c r="G893" s="19" t="str">
        <f aca="false">IF($A893="","",IFERROR(IF(INDEX(tblOrtak[Tarih],ROW($A893)-ROW(tblOrtak[[#Headers],[Tarih]])+1)=0,RaporTarihi,INDEX(tblOrtak[Tarih],ROW($A893)-ROW(tblOrtak[[#Headers],[Tarih]])+1))-$A893,RaporTarihi-$A893))</f>
        <v/>
      </c>
      <c r="H893" s="18" t="n">
        <f aca="false">IF($F893="",0,ROUND($F893*$G893,0))</f>
        <v>0</v>
      </c>
      <c r="I893" s="18" t="n">
        <f aca="false">IF($H893="",0,ROUND($H893*AdatFaizOran/AdatYilGunSayisi,2))</f>
        <v>0</v>
      </c>
      <c r="J893" s="22"/>
    </row>
    <row r="894" customFormat="false" ht="15" hidden="false" customHeight="false" outlineLevel="0" collapsed="false">
      <c r="A894" s="21"/>
      <c r="B894" s="22"/>
      <c r="C894" s="22"/>
      <c r="D894" s="23"/>
      <c r="E894" s="20" t="str">
        <f aca="false">IF($A894="","",IF($C894="Borç",-$D894,$D894))</f>
        <v/>
      </c>
      <c r="F894" s="18" t="str">
        <f aca="false">IF($A894="","",IFERROR(IF(INDEX(tblOrtak[Ortak Adı],ROW($A894)-ROW(tblOrtak[[#Headers],[Tarih]])-1)=$B894,INDEX(tblOrtak[Bakiye (₺)],ROW($A894)-ROW(tblOrtak[[#Headers],[Tarih]])-1)+$E894,$E894),$E894))</f>
        <v/>
      </c>
      <c r="G894" s="19" t="str">
        <f aca="false">IF($A894="","",IFERROR(IF(INDEX(tblOrtak[Tarih],ROW($A894)-ROW(tblOrtak[[#Headers],[Tarih]])+1)=0,RaporTarihi,INDEX(tblOrtak[Tarih],ROW($A894)-ROW(tblOrtak[[#Headers],[Tarih]])+1))-$A894,RaporTarihi-$A894))</f>
        <v/>
      </c>
      <c r="H894" s="18" t="n">
        <f aca="false">IF($F894="",0,ROUND($F894*$G894,0))</f>
        <v>0</v>
      </c>
      <c r="I894" s="18" t="n">
        <f aca="false">IF($H894="",0,ROUND($H894*AdatFaizOran/AdatYilGunSayisi,2))</f>
        <v>0</v>
      </c>
      <c r="J894" s="22"/>
    </row>
    <row r="895" customFormat="false" ht="15" hidden="false" customHeight="false" outlineLevel="0" collapsed="false">
      <c r="A895" s="21"/>
      <c r="B895" s="22"/>
      <c r="C895" s="22"/>
      <c r="D895" s="23"/>
      <c r="E895" s="20" t="str">
        <f aca="false">IF($A895="","",IF($C895="Borç",-$D895,$D895))</f>
        <v/>
      </c>
      <c r="F895" s="18" t="str">
        <f aca="false">IF($A895="","",IFERROR(IF(INDEX(tblOrtak[Ortak Adı],ROW($A895)-ROW(tblOrtak[[#Headers],[Tarih]])-1)=$B895,INDEX(tblOrtak[Bakiye (₺)],ROW($A895)-ROW(tblOrtak[[#Headers],[Tarih]])-1)+$E895,$E895),$E895))</f>
        <v/>
      </c>
      <c r="G895" s="19" t="str">
        <f aca="false">IF($A895="","",IFERROR(IF(INDEX(tblOrtak[Tarih],ROW($A895)-ROW(tblOrtak[[#Headers],[Tarih]])+1)=0,RaporTarihi,INDEX(tblOrtak[Tarih],ROW($A895)-ROW(tblOrtak[[#Headers],[Tarih]])+1))-$A895,RaporTarihi-$A895))</f>
        <v/>
      </c>
      <c r="H895" s="18" t="n">
        <f aca="false">IF($F895="",0,ROUND($F895*$G895,0))</f>
        <v>0</v>
      </c>
      <c r="I895" s="18" t="n">
        <f aca="false">IF($H895="",0,ROUND($H895*AdatFaizOran/AdatYilGunSayisi,2))</f>
        <v>0</v>
      </c>
      <c r="J895" s="22"/>
    </row>
    <row r="896" customFormat="false" ht="15" hidden="false" customHeight="false" outlineLevel="0" collapsed="false">
      <c r="A896" s="21"/>
      <c r="B896" s="22"/>
      <c r="C896" s="22"/>
      <c r="D896" s="23"/>
      <c r="E896" s="20" t="str">
        <f aca="false">IF($A896="","",IF($C896="Borç",-$D896,$D896))</f>
        <v/>
      </c>
      <c r="F896" s="18" t="str">
        <f aca="false">IF($A896="","",IFERROR(IF(INDEX(tblOrtak[Ortak Adı],ROW($A896)-ROW(tblOrtak[[#Headers],[Tarih]])-1)=$B896,INDEX(tblOrtak[Bakiye (₺)],ROW($A896)-ROW(tblOrtak[[#Headers],[Tarih]])-1)+$E896,$E896),$E896))</f>
        <v/>
      </c>
      <c r="G896" s="19" t="str">
        <f aca="false">IF($A896="","",IFERROR(IF(INDEX(tblOrtak[Tarih],ROW($A896)-ROW(tblOrtak[[#Headers],[Tarih]])+1)=0,RaporTarihi,INDEX(tblOrtak[Tarih],ROW($A896)-ROW(tblOrtak[[#Headers],[Tarih]])+1))-$A896,RaporTarihi-$A896))</f>
        <v/>
      </c>
      <c r="H896" s="18" t="n">
        <f aca="false">IF($F896="",0,ROUND($F896*$G896,0))</f>
        <v>0</v>
      </c>
      <c r="I896" s="18" t="n">
        <f aca="false">IF($H896="",0,ROUND($H896*AdatFaizOran/AdatYilGunSayisi,2))</f>
        <v>0</v>
      </c>
      <c r="J896" s="22"/>
    </row>
    <row r="897" customFormat="false" ht="15" hidden="false" customHeight="false" outlineLevel="0" collapsed="false">
      <c r="A897" s="21"/>
      <c r="B897" s="22"/>
      <c r="C897" s="22"/>
      <c r="D897" s="23"/>
      <c r="E897" s="20" t="str">
        <f aca="false">IF($A897="","",IF($C897="Borç",-$D897,$D897))</f>
        <v/>
      </c>
      <c r="F897" s="18" t="str">
        <f aca="false">IF($A897="","",IFERROR(IF(INDEX(tblOrtak[Ortak Adı],ROW($A897)-ROW(tblOrtak[[#Headers],[Tarih]])-1)=$B897,INDEX(tblOrtak[Bakiye (₺)],ROW($A897)-ROW(tblOrtak[[#Headers],[Tarih]])-1)+$E897,$E897),$E897))</f>
        <v/>
      </c>
      <c r="G897" s="19" t="str">
        <f aca="false">IF($A897="","",IFERROR(IF(INDEX(tblOrtak[Tarih],ROW($A897)-ROW(tblOrtak[[#Headers],[Tarih]])+1)=0,RaporTarihi,INDEX(tblOrtak[Tarih],ROW($A897)-ROW(tblOrtak[[#Headers],[Tarih]])+1))-$A897,RaporTarihi-$A897))</f>
        <v/>
      </c>
      <c r="H897" s="18" t="n">
        <f aca="false">IF($F897="",0,ROUND($F897*$G897,0))</f>
        <v>0</v>
      </c>
      <c r="I897" s="18" t="n">
        <f aca="false">IF($H897="",0,ROUND($H897*AdatFaizOran/AdatYilGunSayisi,2))</f>
        <v>0</v>
      </c>
      <c r="J897" s="22"/>
    </row>
    <row r="898" customFormat="false" ht="15" hidden="false" customHeight="false" outlineLevel="0" collapsed="false">
      <c r="A898" s="21"/>
      <c r="B898" s="22"/>
      <c r="C898" s="22"/>
      <c r="D898" s="23"/>
      <c r="E898" s="20" t="str">
        <f aca="false">IF($A898="","",IF($C898="Borç",-$D898,$D898))</f>
        <v/>
      </c>
      <c r="F898" s="18" t="str">
        <f aca="false">IF($A898="","",IFERROR(IF(INDEX(tblOrtak[Ortak Adı],ROW($A898)-ROW(tblOrtak[[#Headers],[Tarih]])-1)=$B898,INDEX(tblOrtak[Bakiye (₺)],ROW($A898)-ROW(tblOrtak[[#Headers],[Tarih]])-1)+$E898,$E898),$E898))</f>
        <v/>
      </c>
      <c r="G898" s="19" t="str">
        <f aca="false">IF($A898="","",IFERROR(IF(INDEX(tblOrtak[Tarih],ROW($A898)-ROW(tblOrtak[[#Headers],[Tarih]])+1)=0,RaporTarihi,INDEX(tblOrtak[Tarih],ROW($A898)-ROW(tblOrtak[[#Headers],[Tarih]])+1))-$A898,RaporTarihi-$A898))</f>
        <v/>
      </c>
      <c r="H898" s="18" t="n">
        <f aca="false">IF($F898="",0,ROUND($F898*$G898,0))</f>
        <v>0</v>
      </c>
      <c r="I898" s="18" t="n">
        <f aca="false">IF($H898="",0,ROUND($H898*AdatFaizOran/AdatYilGunSayisi,2))</f>
        <v>0</v>
      </c>
      <c r="J898" s="22"/>
    </row>
    <row r="899" customFormat="false" ht="15" hidden="false" customHeight="false" outlineLevel="0" collapsed="false">
      <c r="A899" s="21"/>
      <c r="B899" s="22"/>
      <c r="C899" s="22"/>
      <c r="D899" s="23"/>
      <c r="E899" s="20" t="str">
        <f aca="false">IF($A899="","",IF($C899="Borç",-$D899,$D899))</f>
        <v/>
      </c>
      <c r="F899" s="18" t="str">
        <f aca="false">IF($A899="","",IFERROR(IF(INDEX(tblOrtak[Ortak Adı],ROW($A899)-ROW(tblOrtak[[#Headers],[Tarih]])-1)=$B899,INDEX(tblOrtak[Bakiye (₺)],ROW($A899)-ROW(tblOrtak[[#Headers],[Tarih]])-1)+$E899,$E899),$E899))</f>
        <v/>
      </c>
      <c r="G899" s="19" t="str">
        <f aca="false">IF($A899="","",IFERROR(IF(INDEX(tblOrtak[Tarih],ROW($A899)-ROW(tblOrtak[[#Headers],[Tarih]])+1)=0,RaporTarihi,INDEX(tblOrtak[Tarih],ROW($A899)-ROW(tblOrtak[[#Headers],[Tarih]])+1))-$A899,RaporTarihi-$A899))</f>
        <v/>
      </c>
      <c r="H899" s="18" t="n">
        <f aca="false">IF($F899="",0,ROUND($F899*$G899,0))</f>
        <v>0</v>
      </c>
      <c r="I899" s="18" t="n">
        <f aca="false">IF($H899="",0,ROUND($H899*AdatFaizOran/AdatYilGunSayisi,2))</f>
        <v>0</v>
      </c>
      <c r="J899" s="22"/>
    </row>
    <row r="900" customFormat="false" ht="15" hidden="false" customHeight="false" outlineLevel="0" collapsed="false">
      <c r="A900" s="21"/>
      <c r="B900" s="22"/>
      <c r="C900" s="22"/>
      <c r="D900" s="23"/>
      <c r="E900" s="20" t="str">
        <f aca="false">IF($A900="","",IF($C900="Borç",-$D900,$D900))</f>
        <v/>
      </c>
      <c r="F900" s="18" t="str">
        <f aca="false">IF($A900="","",IFERROR(IF(INDEX(tblOrtak[Ortak Adı],ROW($A900)-ROW(tblOrtak[[#Headers],[Tarih]])-1)=$B900,INDEX(tblOrtak[Bakiye (₺)],ROW($A900)-ROW(tblOrtak[[#Headers],[Tarih]])-1)+$E900,$E900),$E900))</f>
        <v/>
      </c>
      <c r="G900" s="19" t="str">
        <f aca="false">IF($A900="","",IFERROR(IF(INDEX(tblOrtak[Tarih],ROW($A900)-ROW(tblOrtak[[#Headers],[Tarih]])+1)=0,RaporTarihi,INDEX(tblOrtak[Tarih],ROW($A900)-ROW(tblOrtak[[#Headers],[Tarih]])+1))-$A900,RaporTarihi-$A900))</f>
        <v/>
      </c>
      <c r="H900" s="18" t="n">
        <f aca="false">IF($F900="",0,ROUND($F900*$G900,0))</f>
        <v>0</v>
      </c>
      <c r="I900" s="18" t="n">
        <f aca="false">IF($H900="",0,ROUND($H900*AdatFaizOran/AdatYilGunSayisi,2))</f>
        <v>0</v>
      </c>
      <c r="J900" s="22"/>
    </row>
    <row r="901" customFormat="false" ht="15" hidden="false" customHeight="false" outlineLevel="0" collapsed="false">
      <c r="A901" s="21"/>
      <c r="B901" s="22"/>
      <c r="C901" s="22"/>
      <c r="D901" s="23"/>
      <c r="E901" s="20" t="str">
        <f aca="false">IF($A901="","",IF($C901="Borç",-$D901,$D901))</f>
        <v/>
      </c>
      <c r="F901" s="18" t="str">
        <f aca="false">IF($A901="","",IFERROR(IF(INDEX(tblOrtak[Ortak Adı],ROW($A901)-ROW(tblOrtak[[#Headers],[Tarih]])-1)=$B901,INDEX(tblOrtak[Bakiye (₺)],ROW($A901)-ROW(tblOrtak[[#Headers],[Tarih]])-1)+$E901,$E901),$E901))</f>
        <v/>
      </c>
      <c r="G901" s="19" t="str">
        <f aca="false">IF($A901="","",IFERROR(IF(INDEX(tblOrtak[Tarih],ROW($A901)-ROW(tblOrtak[[#Headers],[Tarih]])+1)=0,RaporTarihi,INDEX(tblOrtak[Tarih],ROW($A901)-ROW(tblOrtak[[#Headers],[Tarih]])+1))-$A901,RaporTarihi-$A901))</f>
        <v/>
      </c>
      <c r="H901" s="18" t="n">
        <f aca="false">IF($F901="",0,ROUND($F901*$G901,0))</f>
        <v>0</v>
      </c>
      <c r="I901" s="18" t="n">
        <f aca="false">IF($H901="",0,ROUND($H901*AdatFaizOran/AdatYilGunSayisi,2))</f>
        <v>0</v>
      </c>
      <c r="J901" s="22"/>
    </row>
    <row r="902" customFormat="false" ht="15" hidden="false" customHeight="false" outlineLevel="0" collapsed="false">
      <c r="A902" s="21"/>
      <c r="B902" s="22"/>
      <c r="C902" s="22"/>
      <c r="D902" s="23"/>
      <c r="E902" s="20" t="str">
        <f aca="false">IF($A902="","",IF($C902="Borç",-$D902,$D902))</f>
        <v/>
      </c>
      <c r="F902" s="18" t="str">
        <f aca="false">IF($A902="","",IFERROR(IF(INDEX(tblOrtak[Ortak Adı],ROW($A902)-ROW(tblOrtak[[#Headers],[Tarih]])-1)=$B902,INDEX(tblOrtak[Bakiye (₺)],ROW($A902)-ROW(tblOrtak[[#Headers],[Tarih]])-1)+$E902,$E902),$E902))</f>
        <v/>
      </c>
      <c r="G902" s="19" t="str">
        <f aca="false">IF($A902="","",IFERROR(IF(INDEX(tblOrtak[Tarih],ROW($A902)-ROW(tblOrtak[[#Headers],[Tarih]])+1)=0,RaporTarihi,INDEX(tblOrtak[Tarih],ROW($A902)-ROW(tblOrtak[[#Headers],[Tarih]])+1))-$A902,RaporTarihi-$A902))</f>
        <v/>
      </c>
      <c r="H902" s="18" t="n">
        <f aca="false">IF($F902="",0,ROUND($F902*$G902,0))</f>
        <v>0</v>
      </c>
      <c r="I902" s="18" t="n">
        <f aca="false">IF($H902="",0,ROUND($H902*AdatFaizOran/AdatYilGunSayisi,2))</f>
        <v>0</v>
      </c>
      <c r="J902" s="22"/>
    </row>
    <row r="903" customFormat="false" ht="15" hidden="false" customHeight="false" outlineLevel="0" collapsed="false">
      <c r="A903" s="21"/>
      <c r="B903" s="22"/>
      <c r="C903" s="22"/>
      <c r="D903" s="23"/>
      <c r="E903" s="20" t="str">
        <f aca="false">IF($A903="","",IF($C903="Borç",-$D903,$D903))</f>
        <v/>
      </c>
      <c r="F903" s="18" t="str">
        <f aca="false">IF($A903="","",IFERROR(IF(INDEX(tblOrtak[Ortak Adı],ROW($A903)-ROW(tblOrtak[[#Headers],[Tarih]])-1)=$B903,INDEX(tblOrtak[Bakiye (₺)],ROW($A903)-ROW(tblOrtak[[#Headers],[Tarih]])-1)+$E903,$E903),$E903))</f>
        <v/>
      </c>
      <c r="G903" s="19" t="str">
        <f aca="false">IF($A903="","",IFERROR(IF(INDEX(tblOrtak[Tarih],ROW($A903)-ROW(tblOrtak[[#Headers],[Tarih]])+1)=0,RaporTarihi,INDEX(tblOrtak[Tarih],ROW($A903)-ROW(tblOrtak[[#Headers],[Tarih]])+1))-$A903,RaporTarihi-$A903))</f>
        <v/>
      </c>
      <c r="H903" s="18" t="n">
        <f aca="false">IF($F903="",0,ROUND($F903*$G903,0))</f>
        <v>0</v>
      </c>
      <c r="I903" s="18" t="n">
        <f aca="false">IF($H903="",0,ROUND($H903*AdatFaizOran/AdatYilGunSayisi,2))</f>
        <v>0</v>
      </c>
      <c r="J903" s="22"/>
    </row>
    <row r="904" customFormat="false" ht="15" hidden="false" customHeight="false" outlineLevel="0" collapsed="false">
      <c r="A904" s="21"/>
      <c r="B904" s="22"/>
      <c r="C904" s="22"/>
      <c r="D904" s="23"/>
      <c r="E904" s="20" t="str">
        <f aca="false">IF($A904="","",IF($C904="Borç",-$D904,$D904))</f>
        <v/>
      </c>
      <c r="F904" s="18" t="str">
        <f aca="false">IF($A904="","",IFERROR(IF(INDEX(tblOrtak[Ortak Adı],ROW($A904)-ROW(tblOrtak[[#Headers],[Tarih]])-1)=$B904,INDEX(tblOrtak[Bakiye (₺)],ROW($A904)-ROW(tblOrtak[[#Headers],[Tarih]])-1)+$E904,$E904),$E904))</f>
        <v/>
      </c>
      <c r="G904" s="19" t="str">
        <f aca="false">IF($A904="","",IFERROR(IF(INDEX(tblOrtak[Tarih],ROW($A904)-ROW(tblOrtak[[#Headers],[Tarih]])+1)=0,RaporTarihi,INDEX(tblOrtak[Tarih],ROW($A904)-ROW(tblOrtak[[#Headers],[Tarih]])+1))-$A904,RaporTarihi-$A904))</f>
        <v/>
      </c>
      <c r="H904" s="18" t="n">
        <f aca="false">IF($F904="",0,ROUND($F904*$G904,0))</f>
        <v>0</v>
      </c>
      <c r="I904" s="18" t="n">
        <f aca="false">IF($H904="",0,ROUND($H904*AdatFaizOran/AdatYilGunSayisi,2))</f>
        <v>0</v>
      </c>
      <c r="J904" s="22"/>
    </row>
    <row r="905" customFormat="false" ht="15" hidden="false" customHeight="false" outlineLevel="0" collapsed="false">
      <c r="A905" s="21"/>
      <c r="B905" s="22"/>
      <c r="C905" s="22"/>
      <c r="D905" s="23"/>
      <c r="E905" s="20" t="str">
        <f aca="false">IF($A905="","",IF($C905="Borç",-$D905,$D905))</f>
        <v/>
      </c>
      <c r="F905" s="18" t="str">
        <f aca="false">IF($A905="","",IFERROR(IF(INDEX(tblOrtak[Ortak Adı],ROW($A905)-ROW(tblOrtak[[#Headers],[Tarih]])-1)=$B905,INDEX(tblOrtak[Bakiye (₺)],ROW($A905)-ROW(tblOrtak[[#Headers],[Tarih]])-1)+$E905,$E905),$E905))</f>
        <v/>
      </c>
      <c r="G905" s="19" t="str">
        <f aca="false">IF($A905="","",IFERROR(IF(INDEX(tblOrtak[Tarih],ROW($A905)-ROW(tblOrtak[[#Headers],[Tarih]])+1)=0,RaporTarihi,INDEX(tblOrtak[Tarih],ROW($A905)-ROW(tblOrtak[[#Headers],[Tarih]])+1))-$A905,RaporTarihi-$A905))</f>
        <v/>
      </c>
      <c r="H905" s="18" t="n">
        <f aca="false">IF($F905="",0,ROUND($F905*$G905,0))</f>
        <v>0</v>
      </c>
      <c r="I905" s="18" t="n">
        <f aca="false">IF($H905="",0,ROUND($H905*AdatFaizOran/AdatYilGunSayisi,2))</f>
        <v>0</v>
      </c>
      <c r="J905" s="22"/>
    </row>
    <row r="906" customFormat="false" ht="15" hidden="false" customHeight="false" outlineLevel="0" collapsed="false">
      <c r="A906" s="21"/>
      <c r="B906" s="22"/>
      <c r="C906" s="22"/>
      <c r="D906" s="23"/>
      <c r="E906" s="20" t="str">
        <f aca="false">IF($A906="","",IF($C906="Borç",-$D906,$D906))</f>
        <v/>
      </c>
      <c r="F906" s="18" t="str">
        <f aca="false">IF($A906="","",IFERROR(IF(INDEX(tblOrtak[Ortak Adı],ROW($A906)-ROW(tblOrtak[[#Headers],[Tarih]])-1)=$B906,INDEX(tblOrtak[Bakiye (₺)],ROW($A906)-ROW(tblOrtak[[#Headers],[Tarih]])-1)+$E906,$E906),$E906))</f>
        <v/>
      </c>
      <c r="G906" s="19" t="str">
        <f aca="false">IF($A906="","",IFERROR(IF(INDEX(tblOrtak[Tarih],ROW($A906)-ROW(tblOrtak[[#Headers],[Tarih]])+1)=0,RaporTarihi,INDEX(tblOrtak[Tarih],ROW($A906)-ROW(tblOrtak[[#Headers],[Tarih]])+1))-$A906,RaporTarihi-$A906))</f>
        <v/>
      </c>
      <c r="H906" s="18" t="n">
        <f aca="false">IF($F906="",0,ROUND($F906*$G906,0))</f>
        <v>0</v>
      </c>
      <c r="I906" s="18" t="n">
        <f aca="false">IF($H906="",0,ROUND($H906*AdatFaizOran/AdatYilGunSayisi,2))</f>
        <v>0</v>
      </c>
      <c r="J906" s="22"/>
    </row>
    <row r="907" customFormat="false" ht="15" hidden="false" customHeight="false" outlineLevel="0" collapsed="false">
      <c r="A907" s="21"/>
      <c r="B907" s="22"/>
      <c r="C907" s="22"/>
      <c r="D907" s="23"/>
      <c r="E907" s="20" t="str">
        <f aca="false">IF($A907="","",IF($C907="Borç",-$D907,$D907))</f>
        <v/>
      </c>
      <c r="F907" s="18" t="str">
        <f aca="false">IF($A907="","",IFERROR(IF(INDEX(tblOrtak[Ortak Adı],ROW($A907)-ROW(tblOrtak[[#Headers],[Tarih]])-1)=$B907,INDEX(tblOrtak[Bakiye (₺)],ROW($A907)-ROW(tblOrtak[[#Headers],[Tarih]])-1)+$E907,$E907),$E907))</f>
        <v/>
      </c>
      <c r="G907" s="19" t="str">
        <f aca="false">IF($A907="","",IFERROR(IF(INDEX(tblOrtak[Tarih],ROW($A907)-ROW(tblOrtak[[#Headers],[Tarih]])+1)=0,RaporTarihi,INDEX(tblOrtak[Tarih],ROW($A907)-ROW(tblOrtak[[#Headers],[Tarih]])+1))-$A907,RaporTarihi-$A907))</f>
        <v/>
      </c>
      <c r="H907" s="18" t="n">
        <f aca="false">IF($F907="",0,ROUND($F907*$G907,0))</f>
        <v>0</v>
      </c>
      <c r="I907" s="18" t="n">
        <f aca="false">IF($H907="",0,ROUND($H907*AdatFaizOran/AdatYilGunSayisi,2))</f>
        <v>0</v>
      </c>
      <c r="J907" s="22"/>
    </row>
    <row r="908" customFormat="false" ht="15" hidden="false" customHeight="false" outlineLevel="0" collapsed="false">
      <c r="A908" s="21"/>
      <c r="B908" s="22"/>
      <c r="C908" s="22"/>
      <c r="D908" s="23"/>
      <c r="E908" s="20" t="str">
        <f aca="false">IF($A908="","",IF($C908="Borç",-$D908,$D908))</f>
        <v/>
      </c>
      <c r="F908" s="18" t="str">
        <f aca="false">IF($A908="","",IFERROR(IF(INDEX(tblOrtak[Ortak Adı],ROW($A908)-ROW(tblOrtak[[#Headers],[Tarih]])-1)=$B908,INDEX(tblOrtak[Bakiye (₺)],ROW($A908)-ROW(tblOrtak[[#Headers],[Tarih]])-1)+$E908,$E908),$E908))</f>
        <v/>
      </c>
      <c r="G908" s="19" t="str">
        <f aca="false">IF($A908="","",IFERROR(IF(INDEX(tblOrtak[Tarih],ROW($A908)-ROW(tblOrtak[[#Headers],[Tarih]])+1)=0,RaporTarihi,INDEX(tblOrtak[Tarih],ROW($A908)-ROW(tblOrtak[[#Headers],[Tarih]])+1))-$A908,RaporTarihi-$A908))</f>
        <v/>
      </c>
      <c r="H908" s="18" t="n">
        <f aca="false">IF($F908="",0,ROUND($F908*$G908,0))</f>
        <v>0</v>
      </c>
      <c r="I908" s="18" t="n">
        <f aca="false">IF($H908="",0,ROUND($H908*AdatFaizOran/AdatYilGunSayisi,2))</f>
        <v>0</v>
      </c>
      <c r="J908" s="22"/>
    </row>
    <row r="909" customFormat="false" ht="15" hidden="false" customHeight="false" outlineLevel="0" collapsed="false">
      <c r="A909" s="21"/>
      <c r="B909" s="22"/>
      <c r="C909" s="22"/>
      <c r="D909" s="23"/>
      <c r="E909" s="20" t="str">
        <f aca="false">IF($A909="","",IF($C909="Borç",-$D909,$D909))</f>
        <v/>
      </c>
      <c r="F909" s="18" t="str">
        <f aca="false">IF($A909="","",IFERROR(IF(INDEX(tblOrtak[Ortak Adı],ROW($A909)-ROW(tblOrtak[[#Headers],[Tarih]])-1)=$B909,INDEX(tblOrtak[Bakiye (₺)],ROW($A909)-ROW(tblOrtak[[#Headers],[Tarih]])-1)+$E909,$E909),$E909))</f>
        <v/>
      </c>
      <c r="G909" s="19" t="str">
        <f aca="false">IF($A909="","",IFERROR(IF(INDEX(tblOrtak[Tarih],ROW($A909)-ROW(tblOrtak[[#Headers],[Tarih]])+1)=0,RaporTarihi,INDEX(tblOrtak[Tarih],ROW($A909)-ROW(tblOrtak[[#Headers],[Tarih]])+1))-$A909,RaporTarihi-$A909))</f>
        <v/>
      </c>
      <c r="H909" s="18" t="n">
        <f aca="false">IF($F909="",0,ROUND($F909*$G909,0))</f>
        <v>0</v>
      </c>
      <c r="I909" s="18" t="n">
        <f aca="false">IF($H909="",0,ROUND($H909*AdatFaizOran/AdatYilGunSayisi,2))</f>
        <v>0</v>
      </c>
      <c r="J909" s="22"/>
    </row>
    <row r="910" customFormat="false" ht="15" hidden="false" customHeight="false" outlineLevel="0" collapsed="false">
      <c r="A910" s="21"/>
      <c r="B910" s="22"/>
      <c r="C910" s="22"/>
      <c r="D910" s="23"/>
      <c r="E910" s="20" t="str">
        <f aca="false">IF($A910="","",IF($C910="Borç",-$D910,$D910))</f>
        <v/>
      </c>
      <c r="F910" s="18" t="str">
        <f aca="false">IF($A910="","",IFERROR(IF(INDEX(tblOrtak[Ortak Adı],ROW($A910)-ROW(tblOrtak[[#Headers],[Tarih]])-1)=$B910,INDEX(tblOrtak[Bakiye (₺)],ROW($A910)-ROW(tblOrtak[[#Headers],[Tarih]])-1)+$E910,$E910),$E910))</f>
        <v/>
      </c>
      <c r="G910" s="19" t="str">
        <f aca="false">IF($A910="","",IFERROR(IF(INDEX(tblOrtak[Tarih],ROW($A910)-ROW(tblOrtak[[#Headers],[Tarih]])+1)=0,RaporTarihi,INDEX(tblOrtak[Tarih],ROW($A910)-ROW(tblOrtak[[#Headers],[Tarih]])+1))-$A910,RaporTarihi-$A910))</f>
        <v/>
      </c>
      <c r="H910" s="18" t="n">
        <f aca="false">IF($F910="",0,ROUND($F910*$G910,0))</f>
        <v>0</v>
      </c>
      <c r="I910" s="18" t="n">
        <f aca="false">IF($H910="",0,ROUND($H910*AdatFaizOran/AdatYilGunSayisi,2))</f>
        <v>0</v>
      </c>
      <c r="J910" s="22"/>
    </row>
    <row r="911" customFormat="false" ht="15" hidden="false" customHeight="false" outlineLevel="0" collapsed="false">
      <c r="A911" s="21"/>
      <c r="B911" s="22"/>
      <c r="C911" s="22"/>
      <c r="D911" s="23"/>
      <c r="E911" s="20" t="str">
        <f aca="false">IF($A911="","",IF($C911="Borç",-$D911,$D911))</f>
        <v/>
      </c>
      <c r="F911" s="18" t="str">
        <f aca="false">IF($A911="","",IFERROR(IF(INDEX(tblOrtak[Ortak Adı],ROW($A911)-ROW(tblOrtak[[#Headers],[Tarih]])-1)=$B911,INDEX(tblOrtak[Bakiye (₺)],ROW($A911)-ROW(tblOrtak[[#Headers],[Tarih]])-1)+$E911,$E911),$E911))</f>
        <v/>
      </c>
      <c r="G911" s="19" t="str">
        <f aca="false">IF($A911="","",IFERROR(IF(INDEX(tblOrtak[Tarih],ROW($A911)-ROW(tblOrtak[[#Headers],[Tarih]])+1)=0,RaporTarihi,INDEX(tblOrtak[Tarih],ROW($A911)-ROW(tblOrtak[[#Headers],[Tarih]])+1))-$A911,RaporTarihi-$A911))</f>
        <v/>
      </c>
      <c r="H911" s="18" t="n">
        <f aca="false">IF($F911="",0,ROUND($F911*$G911,0))</f>
        <v>0</v>
      </c>
      <c r="I911" s="18" t="n">
        <f aca="false">IF($H911="",0,ROUND($H911*AdatFaizOran/AdatYilGunSayisi,2))</f>
        <v>0</v>
      </c>
      <c r="J911" s="22"/>
    </row>
    <row r="912" customFormat="false" ht="15" hidden="false" customHeight="false" outlineLevel="0" collapsed="false">
      <c r="A912" s="21"/>
      <c r="B912" s="22"/>
      <c r="C912" s="22"/>
      <c r="D912" s="23"/>
      <c r="E912" s="20" t="str">
        <f aca="false">IF($A912="","",IF($C912="Borç",-$D912,$D912))</f>
        <v/>
      </c>
      <c r="F912" s="18" t="str">
        <f aca="false">IF($A912="","",IFERROR(IF(INDEX(tblOrtak[Ortak Adı],ROW($A912)-ROW(tblOrtak[[#Headers],[Tarih]])-1)=$B912,INDEX(tblOrtak[Bakiye (₺)],ROW($A912)-ROW(tblOrtak[[#Headers],[Tarih]])-1)+$E912,$E912),$E912))</f>
        <v/>
      </c>
      <c r="G912" s="19" t="str">
        <f aca="false">IF($A912="","",IFERROR(IF(INDEX(tblOrtak[Tarih],ROW($A912)-ROW(tblOrtak[[#Headers],[Tarih]])+1)=0,RaporTarihi,INDEX(tblOrtak[Tarih],ROW($A912)-ROW(tblOrtak[[#Headers],[Tarih]])+1))-$A912,RaporTarihi-$A912))</f>
        <v/>
      </c>
      <c r="H912" s="18" t="n">
        <f aca="false">IF($F912="",0,ROUND($F912*$G912,0))</f>
        <v>0</v>
      </c>
      <c r="I912" s="18" t="n">
        <f aca="false">IF($H912="",0,ROUND($H912*AdatFaizOran/AdatYilGunSayisi,2))</f>
        <v>0</v>
      </c>
      <c r="J912" s="22"/>
    </row>
    <row r="913" customFormat="false" ht="15" hidden="false" customHeight="false" outlineLevel="0" collapsed="false">
      <c r="A913" s="21"/>
      <c r="B913" s="22"/>
      <c r="C913" s="22"/>
      <c r="D913" s="23"/>
      <c r="E913" s="20" t="str">
        <f aca="false">IF($A913="","",IF($C913="Borç",-$D913,$D913))</f>
        <v/>
      </c>
      <c r="F913" s="18" t="str">
        <f aca="false">IF($A913="","",IFERROR(IF(INDEX(tblOrtak[Ortak Adı],ROW($A913)-ROW(tblOrtak[[#Headers],[Tarih]])-1)=$B913,INDEX(tblOrtak[Bakiye (₺)],ROW($A913)-ROW(tblOrtak[[#Headers],[Tarih]])-1)+$E913,$E913),$E913))</f>
        <v/>
      </c>
      <c r="G913" s="19" t="str">
        <f aca="false">IF($A913="","",IFERROR(IF(INDEX(tblOrtak[Tarih],ROW($A913)-ROW(tblOrtak[[#Headers],[Tarih]])+1)=0,RaporTarihi,INDEX(tblOrtak[Tarih],ROW($A913)-ROW(tblOrtak[[#Headers],[Tarih]])+1))-$A913,RaporTarihi-$A913))</f>
        <v/>
      </c>
      <c r="H913" s="18" t="n">
        <f aca="false">IF($F913="",0,ROUND($F913*$G913,0))</f>
        <v>0</v>
      </c>
      <c r="I913" s="18" t="n">
        <f aca="false">IF($H913="",0,ROUND($H913*AdatFaizOran/AdatYilGunSayisi,2))</f>
        <v>0</v>
      </c>
      <c r="J913" s="22"/>
    </row>
    <row r="914" customFormat="false" ht="15" hidden="false" customHeight="false" outlineLevel="0" collapsed="false">
      <c r="A914" s="21"/>
      <c r="B914" s="22"/>
      <c r="C914" s="22"/>
      <c r="D914" s="23"/>
      <c r="E914" s="20" t="str">
        <f aca="false">IF($A914="","",IF($C914="Borç",-$D914,$D914))</f>
        <v/>
      </c>
      <c r="F914" s="18" t="str">
        <f aca="false">IF($A914="","",IFERROR(IF(INDEX(tblOrtak[Ortak Adı],ROW($A914)-ROW(tblOrtak[[#Headers],[Tarih]])-1)=$B914,INDEX(tblOrtak[Bakiye (₺)],ROW($A914)-ROW(tblOrtak[[#Headers],[Tarih]])-1)+$E914,$E914),$E914))</f>
        <v/>
      </c>
      <c r="G914" s="19" t="str">
        <f aca="false">IF($A914="","",IFERROR(IF(INDEX(tblOrtak[Tarih],ROW($A914)-ROW(tblOrtak[[#Headers],[Tarih]])+1)=0,RaporTarihi,INDEX(tblOrtak[Tarih],ROW($A914)-ROW(tblOrtak[[#Headers],[Tarih]])+1))-$A914,RaporTarihi-$A914))</f>
        <v/>
      </c>
      <c r="H914" s="18" t="n">
        <f aca="false">IF($F914="",0,ROUND($F914*$G914,0))</f>
        <v>0</v>
      </c>
      <c r="I914" s="18" t="n">
        <f aca="false">IF($H914="",0,ROUND($H914*AdatFaizOran/AdatYilGunSayisi,2))</f>
        <v>0</v>
      </c>
      <c r="J914" s="22"/>
    </row>
    <row r="915" customFormat="false" ht="15" hidden="false" customHeight="false" outlineLevel="0" collapsed="false">
      <c r="A915" s="21"/>
      <c r="B915" s="22"/>
      <c r="C915" s="22"/>
      <c r="D915" s="23"/>
      <c r="E915" s="20" t="str">
        <f aca="false">IF($A915="","",IF($C915="Borç",-$D915,$D915))</f>
        <v/>
      </c>
      <c r="F915" s="18" t="str">
        <f aca="false">IF($A915="","",IFERROR(IF(INDEX(tblOrtak[Ortak Adı],ROW($A915)-ROW(tblOrtak[[#Headers],[Tarih]])-1)=$B915,INDEX(tblOrtak[Bakiye (₺)],ROW($A915)-ROW(tblOrtak[[#Headers],[Tarih]])-1)+$E915,$E915),$E915))</f>
        <v/>
      </c>
      <c r="G915" s="19" t="str">
        <f aca="false">IF($A915="","",IFERROR(IF(INDEX(tblOrtak[Tarih],ROW($A915)-ROW(tblOrtak[[#Headers],[Tarih]])+1)=0,RaporTarihi,INDEX(tblOrtak[Tarih],ROW($A915)-ROW(tblOrtak[[#Headers],[Tarih]])+1))-$A915,RaporTarihi-$A915))</f>
        <v/>
      </c>
      <c r="H915" s="18" t="n">
        <f aca="false">IF($F915="",0,ROUND($F915*$G915,0))</f>
        <v>0</v>
      </c>
      <c r="I915" s="18" t="n">
        <f aca="false">IF($H915="",0,ROUND($H915*AdatFaizOran/AdatYilGunSayisi,2))</f>
        <v>0</v>
      </c>
      <c r="J915" s="22"/>
    </row>
    <row r="916" customFormat="false" ht="15" hidden="false" customHeight="false" outlineLevel="0" collapsed="false">
      <c r="A916" s="21"/>
      <c r="B916" s="22"/>
      <c r="C916" s="22"/>
      <c r="D916" s="23"/>
      <c r="E916" s="20" t="str">
        <f aca="false">IF($A916="","",IF($C916="Borç",-$D916,$D916))</f>
        <v/>
      </c>
      <c r="F916" s="18" t="str">
        <f aca="false">IF($A916="","",IFERROR(IF(INDEX(tblOrtak[Ortak Adı],ROW($A916)-ROW(tblOrtak[[#Headers],[Tarih]])-1)=$B916,INDEX(tblOrtak[Bakiye (₺)],ROW($A916)-ROW(tblOrtak[[#Headers],[Tarih]])-1)+$E916,$E916),$E916))</f>
        <v/>
      </c>
      <c r="G916" s="19" t="str">
        <f aca="false">IF($A916="","",IFERROR(IF(INDEX(tblOrtak[Tarih],ROW($A916)-ROW(tblOrtak[[#Headers],[Tarih]])+1)=0,RaporTarihi,INDEX(tblOrtak[Tarih],ROW($A916)-ROW(tblOrtak[[#Headers],[Tarih]])+1))-$A916,RaporTarihi-$A916))</f>
        <v/>
      </c>
      <c r="H916" s="18" t="n">
        <f aca="false">IF($F916="",0,ROUND($F916*$G916,0))</f>
        <v>0</v>
      </c>
      <c r="I916" s="18" t="n">
        <f aca="false">IF($H916="",0,ROUND($H916*AdatFaizOran/AdatYilGunSayisi,2))</f>
        <v>0</v>
      </c>
      <c r="J916" s="22"/>
    </row>
    <row r="917" customFormat="false" ht="15" hidden="false" customHeight="false" outlineLevel="0" collapsed="false">
      <c r="A917" s="21"/>
      <c r="B917" s="22"/>
      <c r="C917" s="22"/>
      <c r="D917" s="23"/>
      <c r="E917" s="20" t="str">
        <f aca="false">IF($A917="","",IF($C917="Borç",-$D917,$D917))</f>
        <v/>
      </c>
      <c r="F917" s="18" t="str">
        <f aca="false">IF($A917="","",IFERROR(IF(INDEX(tblOrtak[Ortak Adı],ROW($A917)-ROW(tblOrtak[[#Headers],[Tarih]])-1)=$B917,INDEX(tblOrtak[Bakiye (₺)],ROW($A917)-ROW(tblOrtak[[#Headers],[Tarih]])-1)+$E917,$E917),$E917))</f>
        <v/>
      </c>
      <c r="G917" s="19" t="str">
        <f aca="false">IF($A917="","",IFERROR(IF(INDEX(tblOrtak[Tarih],ROW($A917)-ROW(tblOrtak[[#Headers],[Tarih]])+1)=0,RaporTarihi,INDEX(tblOrtak[Tarih],ROW($A917)-ROW(tblOrtak[[#Headers],[Tarih]])+1))-$A917,RaporTarihi-$A917))</f>
        <v/>
      </c>
      <c r="H917" s="18" t="n">
        <f aca="false">IF($F917="",0,ROUND($F917*$G917,0))</f>
        <v>0</v>
      </c>
      <c r="I917" s="18" t="n">
        <f aca="false">IF($H917="",0,ROUND($H917*AdatFaizOran/AdatYilGunSayisi,2))</f>
        <v>0</v>
      </c>
      <c r="J917" s="22"/>
    </row>
    <row r="918" customFormat="false" ht="15" hidden="false" customHeight="false" outlineLevel="0" collapsed="false">
      <c r="A918" s="21"/>
      <c r="B918" s="22"/>
      <c r="C918" s="22"/>
      <c r="D918" s="23"/>
      <c r="E918" s="20" t="str">
        <f aca="false">IF($A918="","",IF($C918="Borç",-$D918,$D918))</f>
        <v/>
      </c>
      <c r="F918" s="18" t="str">
        <f aca="false">IF($A918="","",IFERROR(IF(INDEX(tblOrtak[Ortak Adı],ROW($A918)-ROW(tblOrtak[[#Headers],[Tarih]])-1)=$B918,INDEX(tblOrtak[Bakiye (₺)],ROW($A918)-ROW(tblOrtak[[#Headers],[Tarih]])-1)+$E918,$E918),$E918))</f>
        <v/>
      </c>
      <c r="G918" s="19" t="str">
        <f aca="false">IF($A918="","",IFERROR(IF(INDEX(tblOrtak[Tarih],ROW($A918)-ROW(tblOrtak[[#Headers],[Tarih]])+1)=0,RaporTarihi,INDEX(tblOrtak[Tarih],ROW($A918)-ROW(tblOrtak[[#Headers],[Tarih]])+1))-$A918,RaporTarihi-$A918))</f>
        <v/>
      </c>
      <c r="H918" s="18" t="n">
        <f aca="false">IF($F918="",0,ROUND($F918*$G918,0))</f>
        <v>0</v>
      </c>
      <c r="I918" s="18" t="n">
        <f aca="false">IF($H918="",0,ROUND($H918*AdatFaizOran/AdatYilGunSayisi,2))</f>
        <v>0</v>
      </c>
      <c r="J918" s="22"/>
    </row>
    <row r="919" customFormat="false" ht="15" hidden="false" customHeight="false" outlineLevel="0" collapsed="false">
      <c r="A919" s="21"/>
      <c r="B919" s="22"/>
      <c r="C919" s="22"/>
      <c r="D919" s="23"/>
      <c r="E919" s="20" t="str">
        <f aca="false">IF($A919="","",IF($C919="Borç",-$D919,$D919))</f>
        <v/>
      </c>
      <c r="F919" s="18" t="str">
        <f aca="false">IF($A919="","",IFERROR(IF(INDEX(tblOrtak[Ortak Adı],ROW($A919)-ROW(tblOrtak[[#Headers],[Tarih]])-1)=$B919,INDEX(tblOrtak[Bakiye (₺)],ROW($A919)-ROW(tblOrtak[[#Headers],[Tarih]])-1)+$E919,$E919),$E919))</f>
        <v/>
      </c>
      <c r="G919" s="19" t="str">
        <f aca="false">IF($A919="","",IFERROR(IF(INDEX(tblOrtak[Tarih],ROW($A919)-ROW(tblOrtak[[#Headers],[Tarih]])+1)=0,RaporTarihi,INDEX(tblOrtak[Tarih],ROW($A919)-ROW(tblOrtak[[#Headers],[Tarih]])+1))-$A919,RaporTarihi-$A919))</f>
        <v/>
      </c>
      <c r="H919" s="18" t="n">
        <f aca="false">IF($F919="",0,ROUND($F919*$G919,0))</f>
        <v>0</v>
      </c>
      <c r="I919" s="18" t="n">
        <f aca="false">IF($H919="",0,ROUND($H919*AdatFaizOran/AdatYilGunSayisi,2))</f>
        <v>0</v>
      </c>
      <c r="J919" s="22"/>
    </row>
    <row r="920" customFormat="false" ht="15" hidden="false" customHeight="false" outlineLevel="0" collapsed="false">
      <c r="A920" s="21"/>
      <c r="B920" s="22"/>
      <c r="C920" s="22"/>
      <c r="D920" s="23"/>
      <c r="E920" s="20" t="str">
        <f aca="false">IF($A920="","",IF($C920="Borç",-$D920,$D920))</f>
        <v/>
      </c>
      <c r="F920" s="18" t="str">
        <f aca="false">IF($A920="","",IFERROR(IF(INDEX(tblOrtak[Ortak Adı],ROW($A920)-ROW(tblOrtak[[#Headers],[Tarih]])-1)=$B920,INDEX(tblOrtak[Bakiye (₺)],ROW($A920)-ROW(tblOrtak[[#Headers],[Tarih]])-1)+$E920,$E920),$E920))</f>
        <v/>
      </c>
      <c r="G920" s="19" t="str">
        <f aca="false">IF($A920="","",IFERROR(IF(INDEX(tblOrtak[Tarih],ROW($A920)-ROW(tblOrtak[[#Headers],[Tarih]])+1)=0,RaporTarihi,INDEX(tblOrtak[Tarih],ROW($A920)-ROW(tblOrtak[[#Headers],[Tarih]])+1))-$A920,RaporTarihi-$A920))</f>
        <v/>
      </c>
      <c r="H920" s="18" t="n">
        <f aca="false">IF($F920="",0,ROUND($F920*$G920,0))</f>
        <v>0</v>
      </c>
      <c r="I920" s="18" t="n">
        <f aca="false">IF($H920="",0,ROUND($H920*AdatFaizOran/AdatYilGunSayisi,2))</f>
        <v>0</v>
      </c>
      <c r="J920" s="22"/>
    </row>
    <row r="921" customFormat="false" ht="15" hidden="false" customHeight="false" outlineLevel="0" collapsed="false">
      <c r="A921" s="21"/>
      <c r="B921" s="22"/>
      <c r="C921" s="22"/>
      <c r="D921" s="23"/>
      <c r="E921" s="20" t="str">
        <f aca="false">IF($A921="","",IF($C921="Borç",-$D921,$D921))</f>
        <v/>
      </c>
      <c r="F921" s="18" t="str">
        <f aca="false">IF($A921="","",IFERROR(IF(INDEX(tblOrtak[Ortak Adı],ROW($A921)-ROW(tblOrtak[[#Headers],[Tarih]])-1)=$B921,INDEX(tblOrtak[Bakiye (₺)],ROW($A921)-ROW(tblOrtak[[#Headers],[Tarih]])-1)+$E921,$E921),$E921))</f>
        <v/>
      </c>
      <c r="G921" s="19" t="str">
        <f aca="false">IF($A921="","",IFERROR(IF(INDEX(tblOrtak[Tarih],ROW($A921)-ROW(tblOrtak[[#Headers],[Tarih]])+1)=0,RaporTarihi,INDEX(tblOrtak[Tarih],ROW($A921)-ROW(tblOrtak[[#Headers],[Tarih]])+1))-$A921,RaporTarihi-$A921))</f>
        <v/>
      </c>
      <c r="H921" s="18" t="n">
        <f aca="false">IF($F921="",0,ROUND($F921*$G921,0))</f>
        <v>0</v>
      </c>
      <c r="I921" s="18" t="n">
        <f aca="false">IF($H921="",0,ROUND($H921*AdatFaizOran/AdatYilGunSayisi,2))</f>
        <v>0</v>
      </c>
      <c r="J921" s="22"/>
    </row>
    <row r="922" customFormat="false" ht="15" hidden="false" customHeight="false" outlineLevel="0" collapsed="false">
      <c r="A922" s="21"/>
      <c r="B922" s="22"/>
      <c r="C922" s="22"/>
      <c r="D922" s="23"/>
      <c r="E922" s="20" t="str">
        <f aca="false">IF($A922="","",IF($C922="Borç",-$D922,$D922))</f>
        <v/>
      </c>
      <c r="F922" s="18" t="str">
        <f aca="false">IF($A922="","",IFERROR(IF(INDEX(tblOrtak[Ortak Adı],ROW($A922)-ROW(tblOrtak[[#Headers],[Tarih]])-1)=$B922,INDEX(tblOrtak[Bakiye (₺)],ROW($A922)-ROW(tblOrtak[[#Headers],[Tarih]])-1)+$E922,$E922),$E922))</f>
        <v/>
      </c>
      <c r="G922" s="19" t="str">
        <f aca="false">IF($A922="","",IFERROR(IF(INDEX(tblOrtak[Tarih],ROW($A922)-ROW(tblOrtak[[#Headers],[Tarih]])+1)=0,RaporTarihi,INDEX(tblOrtak[Tarih],ROW($A922)-ROW(tblOrtak[[#Headers],[Tarih]])+1))-$A922,RaporTarihi-$A922))</f>
        <v/>
      </c>
      <c r="H922" s="18" t="n">
        <f aca="false">IF($F922="",0,ROUND($F922*$G922,0))</f>
        <v>0</v>
      </c>
      <c r="I922" s="18" t="n">
        <f aca="false">IF($H922="",0,ROUND($H922*AdatFaizOran/AdatYilGunSayisi,2))</f>
        <v>0</v>
      </c>
      <c r="J922" s="22"/>
    </row>
    <row r="923" customFormat="false" ht="15" hidden="false" customHeight="false" outlineLevel="0" collapsed="false">
      <c r="A923" s="21"/>
      <c r="B923" s="22"/>
      <c r="C923" s="22"/>
      <c r="D923" s="23"/>
      <c r="E923" s="20" t="str">
        <f aca="false">IF($A923="","",IF($C923="Borç",-$D923,$D923))</f>
        <v/>
      </c>
      <c r="F923" s="18" t="str">
        <f aca="false">IF($A923="","",IFERROR(IF(INDEX(tblOrtak[Ortak Adı],ROW($A923)-ROW(tblOrtak[[#Headers],[Tarih]])-1)=$B923,INDEX(tblOrtak[Bakiye (₺)],ROW($A923)-ROW(tblOrtak[[#Headers],[Tarih]])-1)+$E923,$E923),$E923))</f>
        <v/>
      </c>
      <c r="G923" s="19" t="str">
        <f aca="false">IF($A923="","",IFERROR(IF(INDEX(tblOrtak[Tarih],ROW($A923)-ROW(tblOrtak[[#Headers],[Tarih]])+1)=0,RaporTarihi,INDEX(tblOrtak[Tarih],ROW($A923)-ROW(tblOrtak[[#Headers],[Tarih]])+1))-$A923,RaporTarihi-$A923))</f>
        <v/>
      </c>
      <c r="H923" s="18" t="n">
        <f aca="false">IF($F923="",0,ROUND($F923*$G923,0))</f>
        <v>0</v>
      </c>
      <c r="I923" s="18" t="n">
        <f aca="false">IF($H923="",0,ROUND($H923*AdatFaizOran/AdatYilGunSayisi,2))</f>
        <v>0</v>
      </c>
      <c r="J923" s="22"/>
    </row>
    <row r="924" customFormat="false" ht="15" hidden="false" customHeight="false" outlineLevel="0" collapsed="false">
      <c r="A924" s="21"/>
      <c r="B924" s="22"/>
      <c r="C924" s="22"/>
      <c r="D924" s="23"/>
      <c r="E924" s="20" t="str">
        <f aca="false">IF($A924="","",IF($C924="Borç",-$D924,$D924))</f>
        <v/>
      </c>
      <c r="F924" s="18" t="str">
        <f aca="false">IF($A924="","",IFERROR(IF(INDEX(tblOrtak[Ortak Adı],ROW($A924)-ROW(tblOrtak[[#Headers],[Tarih]])-1)=$B924,INDEX(tblOrtak[Bakiye (₺)],ROW($A924)-ROW(tblOrtak[[#Headers],[Tarih]])-1)+$E924,$E924),$E924))</f>
        <v/>
      </c>
      <c r="G924" s="19" t="str">
        <f aca="false">IF($A924="","",IFERROR(IF(INDEX(tblOrtak[Tarih],ROW($A924)-ROW(tblOrtak[[#Headers],[Tarih]])+1)=0,RaporTarihi,INDEX(tblOrtak[Tarih],ROW($A924)-ROW(tblOrtak[[#Headers],[Tarih]])+1))-$A924,RaporTarihi-$A924))</f>
        <v/>
      </c>
      <c r="H924" s="18" t="n">
        <f aca="false">IF($F924="",0,ROUND($F924*$G924,0))</f>
        <v>0</v>
      </c>
      <c r="I924" s="18" t="n">
        <f aca="false">IF($H924="",0,ROUND($H924*AdatFaizOran/AdatYilGunSayisi,2))</f>
        <v>0</v>
      </c>
      <c r="J924" s="22"/>
    </row>
    <row r="925" customFormat="false" ht="15" hidden="false" customHeight="false" outlineLevel="0" collapsed="false">
      <c r="A925" s="21"/>
      <c r="B925" s="22"/>
      <c r="C925" s="22"/>
      <c r="D925" s="23"/>
      <c r="E925" s="20" t="str">
        <f aca="false">IF($A925="","",IF($C925="Borç",-$D925,$D925))</f>
        <v/>
      </c>
      <c r="F925" s="18" t="str">
        <f aca="false">IF($A925="","",IFERROR(IF(INDEX(tblOrtak[Ortak Adı],ROW($A925)-ROW(tblOrtak[[#Headers],[Tarih]])-1)=$B925,INDEX(tblOrtak[Bakiye (₺)],ROW($A925)-ROW(tblOrtak[[#Headers],[Tarih]])-1)+$E925,$E925),$E925))</f>
        <v/>
      </c>
      <c r="G925" s="19" t="str">
        <f aca="false">IF($A925="","",IFERROR(IF(INDEX(tblOrtak[Tarih],ROW($A925)-ROW(tblOrtak[[#Headers],[Tarih]])+1)=0,RaporTarihi,INDEX(tblOrtak[Tarih],ROW($A925)-ROW(tblOrtak[[#Headers],[Tarih]])+1))-$A925,RaporTarihi-$A925))</f>
        <v/>
      </c>
      <c r="H925" s="18" t="n">
        <f aca="false">IF($F925="",0,ROUND($F925*$G925,0))</f>
        <v>0</v>
      </c>
      <c r="I925" s="18" t="n">
        <f aca="false">IF($H925="",0,ROUND($H925*AdatFaizOran/AdatYilGunSayisi,2))</f>
        <v>0</v>
      </c>
      <c r="J925" s="22"/>
    </row>
    <row r="926" customFormat="false" ht="15" hidden="false" customHeight="false" outlineLevel="0" collapsed="false">
      <c r="A926" s="21"/>
      <c r="B926" s="22"/>
      <c r="C926" s="22"/>
      <c r="D926" s="23"/>
      <c r="E926" s="20" t="str">
        <f aca="false">IF($A926="","",IF($C926="Borç",-$D926,$D926))</f>
        <v/>
      </c>
      <c r="F926" s="18" t="str">
        <f aca="false">IF($A926="","",IFERROR(IF(INDEX(tblOrtak[Ortak Adı],ROW($A926)-ROW(tblOrtak[[#Headers],[Tarih]])-1)=$B926,INDEX(tblOrtak[Bakiye (₺)],ROW($A926)-ROW(tblOrtak[[#Headers],[Tarih]])-1)+$E926,$E926),$E926))</f>
        <v/>
      </c>
      <c r="G926" s="19" t="str">
        <f aca="false">IF($A926="","",IFERROR(IF(INDEX(tblOrtak[Tarih],ROW($A926)-ROW(tblOrtak[[#Headers],[Tarih]])+1)=0,RaporTarihi,INDEX(tblOrtak[Tarih],ROW($A926)-ROW(tblOrtak[[#Headers],[Tarih]])+1))-$A926,RaporTarihi-$A926))</f>
        <v/>
      </c>
      <c r="H926" s="18" t="n">
        <f aca="false">IF($F926="",0,ROUND($F926*$G926,0))</f>
        <v>0</v>
      </c>
      <c r="I926" s="18" t="n">
        <f aca="false">IF($H926="",0,ROUND($H926*AdatFaizOran/AdatYilGunSayisi,2))</f>
        <v>0</v>
      </c>
      <c r="J926" s="22"/>
    </row>
    <row r="927" customFormat="false" ht="15" hidden="false" customHeight="false" outlineLevel="0" collapsed="false">
      <c r="A927" s="21"/>
      <c r="B927" s="22"/>
      <c r="C927" s="22"/>
      <c r="D927" s="23"/>
      <c r="E927" s="20" t="str">
        <f aca="false">IF($A927="","",IF($C927="Borç",-$D927,$D927))</f>
        <v/>
      </c>
      <c r="F927" s="18" t="str">
        <f aca="false">IF($A927="","",IFERROR(IF(INDEX(tblOrtak[Ortak Adı],ROW($A927)-ROW(tblOrtak[[#Headers],[Tarih]])-1)=$B927,INDEX(tblOrtak[Bakiye (₺)],ROW($A927)-ROW(tblOrtak[[#Headers],[Tarih]])-1)+$E927,$E927),$E927))</f>
        <v/>
      </c>
      <c r="G927" s="19" t="str">
        <f aca="false">IF($A927="","",IFERROR(IF(INDEX(tblOrtak[Tarih],ROW($A927)-ROW(tblOrtak[[#Headers],[Tarih]])+1)=0,RaporTarihi,INDEX(tblOrtak[Tarih],ROW($A927)-ROW(tblOrtak[[#Headers],[Tarih]])+1))-$A927,RaporTarihi-$A927))</f>
        <v/>
      </c>
      <c r="H927" s="18" t="n">
        <f aca="false">IF($F927="",0,ROUND($F927*$G927,0))</f>
        <v>0</v>
      </c>
      <c r="I927" s="18" t="n">
        <f aca="false">IF($H927="",0,ROUND($H927*AdatFaizOran/AdatYilGunSayisi,2))</f>
        <v>0</v>
      </c>
      <c r="J927" s="22"/>
    </row>
    <row r="928" customFormat="false" ht="15" hidden="false" customHeight="false" outlineLevel="0" collapsed="false">
      <c r="A928" s="21"/>
      <c r="B928" s="22"/>
      <c r="C928" s="22"/>
      <c r="D928" s="23"/>
      <c r="E928" s="20" t="str">
        <f aca="false">IF($A928="","",IF($C928="Borç",-$D928,$D928))</f>
        <v/>
      </c>
      <c r="F928" s="18" t="str">
        <f aca="false">IF($A928="","",IFERROR(IF(INDEX(tblOrtak[Ortak Adı],ROW($A928)-ROW(tblOrtak[[#Headers],[Tarih]])-1)=$B928,INDEX(tblOrtak[Bakiye (₺)],ROW($A928)-ROW(tblOrtak[[#Headers],[Tarih]])-1)+$E928,$E928),$E928))</f>
        <v/>
      </c>
      <c r="G928" s="19" t="str">
        <f aca="false">IF($A928="","",IFERROR(IF(INDEX(tblOrtak[Tarih],ROW($A928)-ROW(tblOrtak[[#Headers],[Tarih]])+1)=0,RaporTarihi,INDEX(tblOrtak[Tarih],ROW($A928)-ROW(tblOrtak[[#Headers],[Tarih]])+1))-$A928,RaporTarihi-$A928))</f>
        <v/>
      </c>
      <c r="H928" s="18" t="n">
        <f aca="false">IF($F928="",0,ROUND($F928*$G928,0))</f>
        <v>0</v>
      </c>
      <c r="I928" s="18" t="n">
        <f aca="false">IF($H928="",0,ROUND($H928*AdatFaizOran/AdatYilGunSayisi,2))</f>
        <v>0</v>
      </c>
      <c r="J928" s="22"/>
    </row>
    <row r="929" customFormat="false" ht="15" hidden="false" customHeight="false" outlineLevel="0" collapsed="false">
      <c r="A929" s="21"/>
      <c r="B929" s="22"/>
      <c r="C929" s="22"/>
      <c r="D929" s="23"/>
      <c r="E929" s="20" t="str">
        <f aca="false">IF($A929="","",IF($C929="Borç",-$D929,$D929))</f>
        <v/>
      </c>
      <c r="F929" s="18" t="str">
        <f aca="false">IF($A929="","",IFERROR(IF(INDEX(tblOrtak[Ortak Adı],ROW($A929)-ROW(tblOrtak[[#Headers],[Tarih]])-1)=$B929,INDEX(tblOrtak[Bakiye (₺)],ROW($A929)-ROW(tblOrtak[[#Headers],[Tarih]])-1)+$E929,$E929),$E929))</f>
        <v/>
      </c>
      <c r="G929" s="19" t="str">
        <f aca="false">IF($A929="","",IFERROR(IF(INDEX(tblOrtak[Tarih],ROW($A929)-ROW(tblOrtak[[#Headers],[Tarih]])+1)=0,RaporTarihi,INDEX(tblOrtak[Tarih],ROW($A929)-ROW(tblOrtak[[#Headers],[Tarih]])+1))-$A929,RaporTarihi-$A929))</f>
        <v/>
      </c>
      <c r="H929" s="18" t="n">
        <f aca="false">IF($F929="",0,ROUND($F929*$G929,0))</f>
        <v>0</v>
      </c>
      <c r="I929" s="18" t="n">
        <f aca="false">IF($H929="",0,ROUND($H929*AdatFaizOran/AdatYilGunSayisi,2))</f>
        <v>0</v>
      </c>
      <c r="J929" s="22"/>
    </row>
    <row r="930" customFormat="false" ht="15" hidden="false" customHeight="false" outlineLevel="0" collapsed="false">
      <c r="A930" s="21"/>
      <c r="B930" s="22"/>
      <c r="C930" s="22"/>
      <c r="D930" s="23"/>
      <c r="E930" s="20" t="str">
        <f aca="false">IF($A930="","",IF($C930="Borç",-$D930,$D930))</f>
        <v/>
      </c>
      <c r="F930" s="18" t="str">
        <f aca="false">IF($A930="","",IFERROR(IF(INDEX(tblOrtak[Ortak Adı],ROW($A930)-ROW(tblOrtak[[#Headers],[Tarih]])-1)=$B930,INDEX(tblOrtak[Bakiye (₺)],ROW($A930)-ROW(tblOrtak[[#Headers],[Tarih]])-1)+$E930,$E930),$E930))</f>
        <v/>
      </c>
      <c r="G930" s="19" t="str">
        <f aca="false">IF($A930="","",IFERROR(IF(INDEX(tblOrtak[Tarih],ROW($A930)-ROW(tblOrtak[[#Headers],[Tarih]])+1)=0,RaporTarihi,INDEX(tblOrtak[Tarih],ROW($A930)-ROW(tblOrtak[[#Headers],[Tarih]])+1))-$A930,RaporTarihi-$A930))</f>
        <v/>
      </c>
      <c r="H930" s="18" t="n">
        <f aca="false">IF($F930="",0,ROUND($F930*$G930,0))</f>
        <v>0</v>
      </c>
      <c r="I930" s="18" t="n">
        <f aca="false">IF($H930="",0,ROUND($H930*AdatFaizOran/AdatYilGunSayisi,2))</f>
        <v>0</v>
      </c>
      <c r="J930" s="22"/>
    </row>
    <row r="931" customFormat="false" ht="15" hidden="false" customHeight="false" outlineLevel="0" collapsed="false">
      <c r="A931" s="21"/>
      <c r="B931" s="22"/>
      <c r="C931" s="22"/>
      <c r="D931" s="23"/>
      <c r="E931" s="20" t="str">
        <f aca="false">IF($A931="","",IF($C931="Borç",-$D931,$D931))</f>
        <v/>
      </c>
      <c r="F931" s="18" t="str">
        <f aca="false">IF($A931="","",IFERROR(IF(INDEX(tblOrtak[Ortak Adı],ROW($A931)-ROW(tblOrtak[[#Headers],[Tarih]])-1)=$B931,INDEX(tblOrtak[Bakiye (₺)],ROW($A931)-ROW(tblOrtak[[#Headers],[Tarih]])-1)+$E931,$E931),$E931))</f>
        <v/>
      </c>
      <c r="G931" s="19" t="str">
        <f aca="false">IF($A931="","",IFERROR(IF(INDEX(tblOrtak[Tarih],ROW($A931)-ROW(tblOrtak[[#Headers],[Tarih]])+1)=0,RaporTarihi,INDEX(tblOrtak[Tarih],ROW($A931)-ROW(tblOrtak[[#Headers],[Tarih]])+1))-$A931,RaporTarihi-$A931))</f>
        <v/>
      </c>
      <c r="H931" s="18" t="n">
        <f aca="false">IF($F931="",0,ROUND($F931*$G931,0))</f>
        <v>0</v>
      </c>
      <c r="I931" s="18" t="n">
        <f aca="false">IF($H931="",0,ROUND($H931*AdatFaizOran/AdatYilGunSayisi,2))</f>
        <v>0</v>
      </c>
      <c r="J931" s="22"/>
    </row>
    <row r="932" customFormat="false" ht="15" hidden="false" customHeight="false" outlineLevel="0" collapsed="false">
      <c r="A932" s="21"/>
      <c r="B932" s="22"/>
      <c r="C932" s="22"/>
      <c r="D932" s="23"/>
      <c r="E932" s="20" t="str">
        <f aca="false">IF($A932="","",IF($C932="Borç",-$D932,$D932))</f>
        <v/>
      </c>
      <c r="F932" s="18" t="str">
        <f aca="false">IF($A932="","",IFERROR(IF(INDEX(tblOrtak[Ortak Adı],ROW($A932)-ROW(tblOrtak[[#Headers],[Tarih]])-1)=$B932,INDEX(tblOrtak[Bakiye (₺)],ROW($A932)-ROW(tblOrtak[[#Headers],[Tarih]])-1)+$E932,$E932),$E932))</f>
        <v/>
      </c>
      <c r="G932" s="19" t="str">
        <f aca="false">IF($A932="","",IFERROR(IF(INDEX(tblOrtak[Tarih],ROW($A932)-ROW(tblOrtak[[#Headers],[Tarih]])+1)=0,RaporTarihi,INDEX(tblOrtak[Tarih],ROW($A932)-ROW(tblOrtak[[#Headers],[Tarih]])+1))-$A932,RaporTarihi-$A932))</f>
        <v/>
      </c>
      <c r="H932" s="18" t="n">
        <f aca="false">IF($F932="",0,ROUND($F932*$G932,0))</f>
        <v>0</v>
      </c>
      <c r="I932" s="18" t="n">
        <f aca="false">IF($H932="",0,ROUND($H932*AdatFaizOran/AdatYilGunSayisi,2))</f>
        <v>0</v>
      </c>
      <c r="J932" s="22"/>
    </row>
    <row r="933" customFormat="false" ht="15" hidden="false" customHeight="false" outlineLevel="0" collapsed="false">
      <c r="A933" s="21"/>
      <c r="B933" s="22"/>
      <c r="C933" s="22"/>
      <c r="D933" s="23"/>
      <c r="E933" s="20" t="str">
        <f aca="false">IF($A933="","",IF($C933="Borç",-$D933,$D933))</f>
        <v/>
      </c>
      <c r="F933" s="18" t="str">
        <f aca="false">IF($A933="","",IFERROR(IF(INDEX(tblOrtak[Ortak Adı],ROW($A933)-ROW(tblOrtak[[#Headers],[Tarih]])-1)=$B933,INDEX(tblOrtak[Bakiye (₺)],ROW($A933)-ROW(tblOrtak[[#Headers],[Tarih]])-1)+$E933,$E933),$E933))</f>
        <v/>
      </c>
      <c r="G933" s="19" t="str">
        <f aca="false">IF($A933="","",IFERROR(IF(INDEX(tblOrtak[Tarih],ROW($A933)-ROW(tblOrtak[[#Headers],[Tarih]])+1)=0,RaporTarihi,INDEX(tblOrtak[Tarih],ROW($A933)-ROW(tblOrtak[[#Headers],[Tarih]])+1))-$A933,RaporTarihi-$A933))</f>
        <v/>
      </c>
      <c r="H933" s="18" t="n">
        <f aca="false">IF($F933="",0,ROUND($F933*$G933,0))</f>
        <v>0</v>
      </c>
      <c r="I933" s="18" t="n">
        <f aca="false">IF($H933="",0,ROUND($H933*AdatFaizOran/AdatYilGunSayisi,2))</f>
        <v>0</v>
      </c>
      <c r="J933" s="22"/>
    </row>
    <row r="934" customFormat="false" ht="15" hidden="false" customHeight="false" outlineLevel="0" collapsed="false">
      <c r="A934" s="21"/>
      <c r="B934" s="22"/>
      <c r="C934" s="22"/>
      <c r="D934" s="23"/>
      <c r="E934" s="20" t="str">
        <f aca="false">IF($A934="","",IF($C934="Borç",-$D934,$D934))</f>
        <v/>
      </c>
      <c r="F934" s="18" t="str">
        <f aca="false">IF($A934="","",IFERROR(IF(INDEX(tblOrtak[Ortak Adı],ROW($A934)-ROW(tblOrtak[[#Headers],[Tarih]])-1)=$B934,INDEX(tblOrtak[Bakiye (₺)],ROW($A934)-ROW(tblOrtak[[#Headers],[Tarih]])-1)+$E934,$E934),$E934))</f>
        <v/>
      </c>
      <c r="G934" s="19" t="str">
        <f aca="false">IF($A934="","",IFERROR(IF(INDEX(tblOrtak[Tarih],ROW($A934)-ROW(tblOrtak[[#Headers],[Tarih]])+1)=0,RaporTarihi,INDEX(tblOrtak[Tarih],ROW($A934)-ROW(tblOrtak[[#Headers],[Tarih]])+1))-$A934,RaporTarihi-$A934))</f>
        <v/>
      </c>
      <c r="H934" s="18" t="n">
        <f aca="false">IF($F934="",0,ROUND($F934*$G934,0))</f>
        <v>0</v>
      </c>
      <c r="I934" s="18" t="n">
        <f aca="false">IF($H934="",0,ROUND($H934*AdatFaizOran/AdatYilGunSayisi,2))</f>
        <v>0</v>
      </c>
      <c r="J934" s="22"/>
    </row>
    <row r="935" customFormat="false" ht="15" hidden="false" customHeight="false" outlineLevel="0" collapsed="false">
      <c r="A935" s="21"/>
      <c r="B935" s="22"/>
      <c r="C935" s="22"/>
      <c r="D935" s="23"/>
      <c r="E935" s="20" t="str">
        <f aca="false">IF($A935="","",IF($C935="Borç",-$D935,$D935))</f>
        <v/>
      </c>
      <c r="F935" s="18" t="str">
        <f aca="false">IF($A935="","",IFERROR(IF(INDEX(tblOrtak[Ortak Adı],ROW($A935)-ROW(tblOrtak[[#Headers],[Tarih]])-1)=$B935,INDEX(tblOrtak[Bakiye (₺)],ROW($A935)-ROW(tblOrtak[[#Headers],[Tarih]])-1)+$E935,$E935),$E935))</f>
        <v/>
      </c>
      <c r="G935" s="19" t="str">
        <f aca="false">IF($A935="","",IFERROR(IF(INDEX(tblOrtak[Tarih],ROW($A935)-ROW(tblOrtak[[#Headers],[Tarih]])+1)=0,RaporTarihi,INDEX(tblOrtak[Tarih],ROW($A935)-ROW(tblOrtak[[#Headers],[Tarih]])+1))-$A935,RaporTarihi-$A935))</f>
        <v/>
      </c>
      <c r="H935" s="18" t="n">
        <f aca="false">IF($F935="",0,ROUND($F935*$G935,0))</f>
        <v>0</v>
      </c>
      <c r="I935" s="18" t="n">
        <f aca="false">IF($H935="",0,ROUND($H935*AdatFaizOran/AdatYilGunSayisi,2))</f>
        <v>0</v>
      </c>
      <c r="J935" s="22"/>
    </row>
    <row r="936" customFormat="false" ht="15" hidden="false" customHeight="false" outlineLevel="0" collapsed="false">
      <c r="A936" s="21"/>
      <c r="B936" s="22"/>
      <c r="C936" s="22"/>
      <c r="D936" s="23"/>
      <c r="E936" s="20" t="str">
        <f aca="false">IF($A936="","",IF($C936="Borç",-$D936,$D936))</f>
        <v/>
      </c>
      <c r="F936" s="18" t="str">
        <f aca="false">IF($A936="","",IFERROR(IF(INDEX(tblOrtak[Ortak Adı],ROW($A936)-ROW(tblOrtak[[#Headers],[Tarih]])-1)=$B936,INDEX(tblOrtak[Bakiye (₺)],ROW($A936)-ROW(tblOrtak[[#Headers],[Tarih]])-1)+$E936,$E936),$E936))</f>
        <v/>
      </c>
      <c r="G936" s="19" t="str">
        <f aca="false">IF($A936="","",IFERROR(IF(INDEX(tblOrtak[Tarih],ROW($A936)-ROW(tblOrtak[[#Headers],[Tarih]])+1)=0,RaporTarihi,INDEX(tblOrtak[Tarih],ROW($A936)-ROW(tblOrtak[[#Headers],[Tarih]])+1))-$A936,RaporTarihi-$A936))</f>
        <v/>
      </c>
      <c r="H936" s="18" t="n">
        <f aca="false">IF($F936="",0,ROUND($F936*$G936,0))</f>
        <v>0</v>
      </c>
      <c r="I936" s="18" t="n">
        <f aca="false">IF($H936="",0,ROUND($H936*AdatFaizOran/AdatYilGunSayisi,2))</f>
        <v>0</v>
      </c>
      <c r="J936" s="22"/>
    </row>
    <row r="937" customFormat="false" ht="15" hidden="false" customHeight="false" outlineLevel="0" collapsed="false">
      <c r="A937" s="21"/>
      <c r="B937" s="22"/>
      <c r="C937" s="22"/>
      <c r="D937" s="23"/>
      <c r="E937" s="20" t="str">
        <f aca="false">IF($A937="","",IF($C937="Borç",-$D937,$D937))</f>
        <v/>
      </c>
      <c r="F937" s="18" t="str">
        <f aca="false">IF($A937="","",IFERROR(IF(INDEX(tblOrtak[Ortak Adı],ROW($A937)-ROW(tblOrtak[[#Headers],[Tarih]])-1)=$B937,INDEX(tblOrtak[Bakiye (₺)],ROW($A937)-ROW(tblOrtak[[#Headers],[Tarih]])-1)+$E937,$E937),$E937))</f>
        <v/>
      </c>
      <c r="G937" s="19" t="str">
        <f aca="false">IF($A937="","",IFERROR(IF(INDEX(tblOrtak[Tarih],ROW($A937)-ROW(tblOrtak[[#Headers],[Tarih]])+1)=0,RaporTarihi,INDEX(tblOrtak[Tarih],ROW($A937)-ROW(tblOrtak[[#Headers],[Tarih]])+1))-$A937,RaporTarihi-$A937))</f>
        <v/>
      </c>
      <c r="H937" s="18" t="n">
        <f aca="false">IF($F937="",0,ROUND($F937*$G937,0))</f>
        <v>0</v>
      </c>
      <c r="I937" s="18" t="n">
        <f aca="false">IF($H937="",0,ROUND($H937*AdatFaizOran/AdatYilGunSayisi,2))</f>
        <v>0</v>
      </c>
      <c r="J937" s="22"/>
    </row>
    <row r="938" customFormat="false" ht="15" hidden="false" customHeight="false" outlineLevel="0" collapsed="false">
      <c r="A938" s="21"/>
      <c r="B938" s="22"/>
      <c r="C938" s="22"/>
      <c r="D938" s="23"/>
      <c r="E938" s="20" t="str">
        <f aca="false">IF($A938="","",IF($C938="Borç",-$D938,$D938))</f>
        <v/>
      </c>
      <c r="F938" s="18" t="str">
        <f aca="false">IF($A938="","",IFERROR(IF(INDEX(tblOrtak[Ortak Adı],ROW($A938)-ROW(tblOrtak[[#Headers],[Tarih]])-1)=$B938,INDEX(tblOrtak[Bakiye (₺)],ROW($A938)-ROW(tblOrtak[[#Headers],[Tarih]])-1)+$E938,$E938),$E938))</f>
        <v/>
      </c>
      <c r="G938" s="19" t="str">
        <f aca="false">IF($A938="","",IFERROR(IF(INDEX(tblOrtak[Tarih],ROW($A938)-ROW(tblOrtak[[#Headers],[Tarih]])+1)=0,RaporTarihi,INDEX(tblOrtak[Tarih],ROW($A938)-ROW(tblOrtak[[#Headers],[Tarih]])+1))-$A938,RaporTarihi-$A938))</f>
        <v/>
      </c>
      <c r="H938" s="18" t="n">
        <f aca="false">IF($F938="",0,ROUND($F938*$G938,0))</f>
        <v>0</v>
      </c>
      <c r="I938" s="18" t="n">
        <f aca="false">IF($H938="",0,ROUND($H938*AdatFaizOran/AdatYilGunSayisi,2))</f>
        <v>0</v>
      </c>
      <c r="J938" s="22"/>
    </row>
    <row r="939" customFormat="false" ht="15" hidden="false" customHeight="false" outlineLevel="0" collapsed="false">
      <c r="A939" s="21"/>
      <c r="B939" s="22"/>
      <c r="C939" s="22"/>
      <c r="D939" s="23"/>
      <c r="E939" s="20" t="str">
        <f aca="false">IF($A939="","",IF($C939="Borç",-$D939,$D939))</f>
        <v/>
      </c>
      <c r="F939" s="18" t="str">
        <f aca="false">IF($A939="","",IFERROR(IF(INDEX(tblOrtak[Ortak Adı],ROW($A939)-ROW(tblOrtak[[#Headers],[Tarih]])-1)=$B939,INDEX(tblOrtak[Bakiye (₺)],ROW($A939)-ROW(tblOrtak[[#Headers],[Tarih]])-1)+$E939,$E939),$E939))</f>
        <v/>
      </c>
      <c r="G939" s="19" t="str">
        <f aca="false">IF($A939="","",IFERROR(IF(INDEX(tblOrtak[Tarih],ROW($A939)-ROW(tblOrtak[[#Headers],[Tarih]])+1)=0,RaporTarihi,INDEX(tblOrtak[Tarih],ROW($A939)-ROW(tblOrtak[[#Headers],[Tarih]])+1))-$A939,RaporTarihi-$A939))</f>
        <v/>
      </c>
      <c r="H939" s="18" t="n">
        <f aca="false">IF($F939="",0,ROUND($F939*$G939,0))</f>
        <v>0</v>
      </c>
      <c r="I939" s="18" t="n">
        <f aca="false">IF($H939="",0,ROUND($H939*AdatFaizOran/AdatYilGunSayisi,2))</f>
        <v>0</v>
      </c>
      <c r="J939" s="22"/>
    </row>
    <row r="940" customFormat="false" ht="15" hidden="false" customHeight="false" outlineLevel="0" collapsed="false">
      <c r="A940" s="21"/>
      <c r="B940" s="22"/>
      <c r="C940" s="22"/>
      <c r="D940" s="23"/>
      <c r="E940" s="20" t="str">
        <f aca="false">IF($A940="","",IF($C940="Borç",-$D940,$D940))</f>
        <v/>
      </c>
      <c r="F940" s="18" t="str">
        <f aca="false">IF($A940="","",IFERROR(IF(INDEX(tblOrtak[Ortak Adı],ROW($A940)-ROW(tblOrtak[[#Headers],[Tarih]])-1)=$B940,INDEX(tblOrtak[Bakiye (₺)],ROW($A940)-ROW(tblOrtak[[#Headers],[Tarih]])-1)+$E940,$E940),$E940))</f>
        <v/>
      </c>
      <c r="G940" s="19" t="str">
        <f aca="false">IF($A940="","",IFERROR(IF(INDEX(tblOrtak[Tarih],ROW($A940)-ROW(tblOrtak[[#Headers],[Tarih]])+1)=0,RaporTarihi,INDEX(tblOrtak[Tarih],ROW($A940)-ROW(tblOrtak[[#Headers],[Tarih]])+1))-$A940,RaporTarihi-$A940))</f>
        <v/>
      </c>
      <c r="H940" s="18" t="n">
        <f aca="false">IF($F940="",0,ROUND($F940*$G940,0))</f>
        <v>0</v>
      </c>
      <c r="I940" s="18" t="n">
        <f aca="false">IF($H940="",0,ROUND($H940*AdatFaizOran/AdatYilGunSayisi,2))</f>
        <v>0</v>
      </c>
      <c r="J940" s="22"/>
    </row>
    <row r="941" customFormat="false" ht="15" hidden="false" customHeight="false" outlineLevel="0" collapsed="false">
      <c r="A941" s="21"/>
      <c r="B941" s="22"/>
      <c r="C941" s="22"/>
      <c r="D941" s="23"/>
      <c r="E941" s="20" t="str">
        <f aca="false">IF($A941="","",IF($C941="Borç",-$D941,$D941))</f>
        <v/>
      </c>
      <c r="F941" s="18" t="str">
        <f aca="false">IF($A941="","",IFERROR(IF(INDEX(tblOrtak[Ortak Adı],ROW($A941)-ROW(tblOrtak[[#Headers],[Tarih]])-1)=$B941,INDEX(tblOrtak[Bakiye (₺)],ROW($A941)-ROW(tblOrtak[[#Headers],[Tarih]])-1)+$E941,$E941),$E941))</f>
        <v/>
      </c>
      <c r="G941" s="19" t="str">
        <f aca="false">IF($A941="","",IFERROR(IF(INDEX(tblOrtak[Tarih],ROW($A941)-ROW(tblOrtak[[#Headers],[Tarih]])+1)=0,RaporTarihi,INDEX(tblOrtak[Tarih],ROW($A941)-ROW(tblOrtak[[#Headers],[Tarih]])+1))-$A941,RaporTarihi-$A941))</f>
        <v/>
      </c>
      <c r="H941" s="18" t="n">
        <f aca="false">IF($F941="",0,ROUND($F941*$G941,0))</f>
        <v>0</v>
      </c>
      <c r="I941" s="18" t="n">
        <f aca="false">IF($H941="",0,ROUND($H941*AdatFaizOran/AdatYilGunSayisi,2))</f>
        <v>0</v>
      </c>
      <c r="J941" s="22"/>
    </row>
    <row r="942" customFormat="false" ht="15" hidden="false" customHeight="false" outlineLevel="0" collapsed="false">
      <c r="A942" s="21"/>
      <c r="B942" s="22"/>
      <c r="C942" s="22"/>
      <c r="D942" s="23"/>
      <c r="E942" s="20" t="str">
        <f aca="false">IF($A942="","",IF($C942="Borç",-$D942,$D942))</f>
        <v/>
      </c>
      <c r="F942" s="18" t="str">
        <f aca="false">IF($A942="","",IFERROR(IF(INDEX(tblOrtak[Ortak Adı],ROW($A942)-ROW(tblOrtak[[#Headers],[Tarih]])-1)=$B942,INDEX(tblOrtak[Bakiye (₺)],ROW($A942)-ROW(tblOrtak[[#Headers],[Tarih]])-1)+$E942,$E942),$E942))</f>
        <v/>
      </c>
      <c r="G942" s="19" t="str">
        <f aca="false">IF($A942="","",IFERROR(IF(INDEX(tblOrtak[Tarih],ROW($A942)-ROW(tblOrtak[[#Headers],[Tarih]])+1)=0,RaporTarihi,INDEX(tblOrtak[Tarih],ROW($A942)-ROW(tblOrtak[[#Headers],[Tarih]])+1))-$A942,RaporTarihi-$A942))</f>
        <v/>
      </c>
      <c r="H942" s="18" t="n">
        <f aca="false">IF($F942="",0,ROUND($F942*$G942,0))</f>
        <v>0</v>
      </c>
      <c r="I942" s="18" t="n">
        <f aca="false">IF($H942="",0,ROUND($H942*AdatFaizOran/AdatYilGunSayisi,2))</f>
        <v>0</v>
      </c>
      <c r="J942" s="22"/>
    </row>
    <row r="943" customFormat="false" ht="15" hidden="false" customHeight="false" outlineLevel="0" collapsed="false">
      <c r="A943" s="21"/>
      <c r="B943" s="22"/>
      <c r="C943" s="22"/>
      <c r="D943" s="23"/>
      <c r="E943" s="20" t="str">
        <f aca="false">IF($A943="","",IF($C943="Borç",-$D943,$D943))</f>
        <v/>
      </c>
      <c r="F943" s="18" t="str">
        <f aca="false">IF($A943="","",IFERROR(IF(INDEX(tblOrtak[Ortak Adı],ROW($A943)-ROW(tblOrtak[[#Headers],[Tarih]])-1)=$B943,INDEX(tblOrtak[Bakiye (₺)],ROW($A943)-ROW(tblOrtak[[#Headers],[Tarih]])-1)+$E943,$E943),$E943))</f>
        <v/>
      </c>
      <c r="G943" s="19" t="str">
        <f aca="false">IF($A943="","",IFERROR(IF(INDEX(tblOrtak[Tarih],ROW($A943)-ROW(tblOrtak[[#Headers],[Tarih]])+1)=0,RaporTarihi,INDEX(tblOrtak[Tarih],ROW($A943)-ROW(tblOrtak[[#Headers],[Tarih]])+1))-$A943,RaporTarihi-$A943))</f>
        <v/>
      </c>
      <c r="H943" s="18" t="n">
        <f aca="false">IF($F943="",0,ROUND($F943*$G943,0))</f>
        <v>0</v>
      </c>
      <c r="I943" s="18" t="n">
        <f aca="false">IF($H943="",0,ROUND($H943*AdatFaizOran/AdatYilGunSayisi,2))</f>
        <v>0</v>
      </c>
      <c r="J943" s="22"/>
    </row>
    <row r="944" customFormat="false" ht="15" hidden="false" customHeight="false" outlineLevel="0" collapsed="false">
      <c r="A944" s="21"/>
      <c r="B944" s="22"/>
      <c r="C944" s="22"/>
      <c r="D944" s="23"/>
      <c r="E944" s="20" t="str">
        <f aca="false">IF($A944="","",IF($C944="Borç",-$D944,$D944))</f>
        <v/>
      </c>
      <c r="F944" s="18" t="str">
        <f aca="false">IF($A944="","",IFERROR(IF(INDEX(tblOrtak[Ortak Adı],ROW($A944)-ROW(tblOrtak[[#Headers],[Tarih]])-1)=$B944,INDEX(tblOrtak[Bakiye (₺)],ROW($A944)-ROW(tblOrtak[[#Headers],[Tarih]])-1)+$E944,$E944),$E944))</f>
        <v/>
      </c>
      <c r="G944" s="19" t="str">
        <f aca="false">IF($A944="","",IFERROR(IF(INDEX(tblOrtak[Tarih],ROW($A944)-ROW(tblOrtak[[#Headers],[Tarih]])+1)=0,RaporTarihi,INDEX(tblOrtak[Tarih],ROW($A944)-ROW(tblOrtak[[#Headers],[Tarih]])+1))-$A944,RaporTarihi-$A944))</f>
        <v/>
      </c>
      <c r="H944" s="18" t="n">
        <f aca="false">IF($F944="",0,ROUND($F944*$G944,0))</f>
        <v>0</v>
      </c>
      <c r="I944" s="18" t="n">
        <f aca="false">IF($H944="",0,ROUND($H944*AdatFaizOran/AdatYilGunSayisi,2))</f>
        <v>0</v>
      </c>
      <c r="J944" s="22"/>
    </row>
    <row r="945" customFormat="false" ht="15" hidden="false" customHeight="false" outlineLevel="0" collapsed="false">
      <c r="A945" s="21"/>
      <c r="B945" s="22"/>
      <c r="C945" s="22"/>
      <c r="D945" s="23"/>
      <c r="E945" s="20" t="str">
        <f aca="false">IF($A945="","",IF($C945="Borç",-$D945,$D945))</f>
        <v/>
      </c>
      <c r="F945" s="18" t="str">
        <f aca="false">IF($A945="","",IFERROR(IF(INDEX(tblOrtak[Ortak Adı],ROW($A945)-ROW(tblOrtak[[#Headers],[Tarih]])-1)=$B945,INDEX(tblOrtak[Bakiye (₺)],ROW($A945)-ROW(tblOrtak[[#Headers],[Tarih]])-1)+$E945,$E945),$E945))</f>
        <v/>
      </c>
      <c r="G945" s="19" t="str">
        <f aca="false">IF($A945="","",IFERROR(IF(INDEX(tblOrtak[Tarih],ROW($A945)-ROW(tblOrtak[[#Headers],[Tarih]])+1)=0,RaporTarihi,INDEX(tblOrtak[Tarih],ROW($A945)-ROW(tblOrtak[[#Headers],[Tarih]])+1))-$A945,RaporTarihi-$A945))</f>
        <v/>
      </c>
      <c r="H945" s="18" t="n">
        <f aca="false">IF($F945="",0,ROUND($F945*$G945,0))</f>
        <v>0</v>
      </c>
      <c r="I945" s="18" t="n">
        <f aca="false">IF($H945="",0,ROUND($H945*AdatFaizOran/AdatYilGunSayisi,2))</f>
        <v>0</v>
      </c>
      <c r="J945" s="22"/>
    </row>
    <row r="946" customFormat="false" ht="15" hidden="false" customHeight="false" outlineLevel="0" collapsed="false">
      <c r="A946" s="21"/>
      <c r="B946" s="22"/>
      <c r="C946" s="22"/>
      <c r="D946" s="23"/>
      <c r="E946" s="20" t="str">
        <f aca="false">IF($A946="","",IF($C946="Borç",-$D946,$D946))</f>
        <v/>
      </c>
      <c r="F946" s="18" t="str">
        <f aca="false">IF($A946="","",IFERROR(IF(INDEX(tblOrtak[Ortak Adı],ROW($A946)-ROW(tblOrtak[[#Headers],[Tarih]])-1)=$B946,INDEX(tblOrtak[Bakiye (₺)],ROW($A946)-ROW(tblOrtak[[#Headers],[Tarih]])-1)+$E946,$E946),$E946))</f>
        <v/>
      </c>
      <c r="G946" s="19" t="str">
        <f aca="false">IF($A946="","",IFERROR(IF(INDEX(tblOrtak[Tarih],ROW($A946)-ROW(tblOrtak[[#Headers],[Tarih]])+1)=0,RaporTarihi,INDEX(tblOrtak[Tarih],ROW($A946)-ROW(tblOrtak[[#Headers],[Tarih]])+1))-$A946,RaporTarihi-$A946))</f>
        <v/>
      </c>
      <c r="H946" s="18" t="n">
        <f aca="false">IF($F946="",0,ROUND($F946*$G946,0))</f>
        <v>0</v>
      </c>
      <c r="I946" s="18" t="n">
        <f aca="false">IF($H946="",0,ROUND($H946*AdatFaizOran/AdatYilGunSayisi,2))</f>
        <v>0</v>
      </c>
      <c r="J946" s="22"/>
    </row>
    <row r="947" customFormat="false" ht="15" hidden="false" customHeight="false" outlineLevel="0" collapsed="false">
      <c r="A947" s="21"/>
      <c r="B947" s="22"/>
      <c r="C947" s="22"/>
      <c r="D947" s="23"/>
      <c r="E947" s="20" t="str">
        <f aca="false">IF($A947="","",IF($C947="Borç",-$D947,$D947))</f>
        <v/>
      </c>
      <c r="F947" s="18" t="str">
        <f aca="false">IF($A947="","",IFERROR(IF(INDEX(tblOrtak[Ortak Adı],ROW($A947)-ROW(tblOrtak[[#Headers],[Tarih]])-1)=$B947,INDEX(tblOrtak[Bakiye (₺)],ROW($A947)-ROW(tblOrtak[[#Headers],[Tarih]])-1)+$E947,$E947),$E947))</f>
        <v/>
      </c>
      <c r="G947" s="19" t="str">
        <f aca="false">IF($A947="","",IFERROR(IF(INDEX(tblOrtak[Tarih],ROW($A947)-ROW(tblOrtak[[#Headers],[Tarih]])+1)=0,RaporTarihi,INDEX(tblOrtak[Tarih],ROW($A947)-ROW(tblOrtak[[#Headers],[Tarih]])+1))-$A947,RaporTarihi-$A947))</f>
        <v/>
      </c>
      <c r="H947" s="18" t="n">
        <f aca="false">IF($F947="",0,ROUND($F947*$G947,0))</f>
        <v>0</v>
      </c>
      <c r="I947" s="18" t="n">
        <f aca="false">IF($H947="",0,ROUND($H947*AdatFaizOran/AdatYilGunSayisi,2))</f>
        <v>0</v>
      </c>
      <c r="J947" s="22"/>
    </row>
    <row r="948" customFormat="false" ht="15" hidden="false" customHeight="false" outlineLevel="0" collapsed="false">
      <c r="A948" s="21"/>
      <c r="B948" s="22"/>
      <c r="C948" s="22"/>
      <c r="D948" s="23"/>
      <c r="E948" s="20" t="str">
        <f aca="false">IF($A948="","",IF($C948="Borç",-$D948,$D948))</f>
        <v/>
      </c>
      <c r="F948" s="18" t="str">
        <f aca="false">IF($A948="","",IFERROR(IF(INDEX(tblOrtak[Ortak Adı],ROW($A948)-ROW(tblOrtak[[#Headers],[Tarih]])-1)=$B948,INDEX(tblOrtak[Bakiye (₺)],ROW($A948)-ROW(tblOrtak[[#Headers],[Tarih]])-1)+$E948,$E948),$E948))</f>
        <v/>
      </c>
      <c r="G948" s="19" t="str">
        <f aca="false">IF($A948="","",IFERROR(IF(INDEX(tblOrtak[Tarih],ROW($A948)-ROW(tblOrtak[[#Headers],[Tarih]])+1)=0,RaporTarihi,INDEX(tblOrtak[Tarih],ROW($A948)-ROW(tblOrtak[[#Headers],[Tarih]])+1))-$A948,RaporTarihi-$A948))</f>
        <v/>
      </c>
      <c r="H948" s="18" t="n">
        <f aca="false">IF($F948="",0,ROUND($F948*$G948,0))</f>
        <v>0</v>
      </c>
      <c r="I948" s="18" t="n">
        <f aca="false">IF($H948="",0,ROUND($H948*AdatFaizOran/AdatYilGunSayisi,2))</f>
        <v>0</v>
      </c>
      <c r="J948" s="22"/>
    </row>
    <row r="949" customFormat="false" ht="15" hidden="false" customHeight="false" outlineLevel="0" collapsed="false">
      <c r="A949" s="21"/>
      <c r="B949" s="22"/>
      <c r="C949" s="22"/>
      <c r="D949" s="23"/>
      <c r="E949" s="20" t="str">
        <f aca="false">IF($A949="","",IF($C949="Borç",-$D949,$D949))</f>
        <v/>
      </c>
      <c r="F949" s="18" t="str">
        <f aca="false">IF($A949="","",IFERROR(IF(INDEX(tblOrtak[Ortak Adı],ROW($A949)-ROW(tblOrtak[[#Headers],[Tarih]])-1)=$B949,INDEX(tblOrtak[Bakiye (₺)],ROW($A949)-ROW(tblOrtak[[#Headers],[Tarih]])-1)+$E949,$E949),$E949))</f>
        <v/>
      </c>
      <c r="G949" s="19" t="str">
        <f aca="false">IF($A949="","",IFERROR(IF(INDEX(tblOrtak[Tarih],ROW($A949)-ROW(tblOrtak[[#Headers],[Tarih]])+1)=0,RaporTarihi,INDEX(tblOrtak[Tarih],ROW($A949)-ROW(tblOrtak[[#Headers],[Tarih]])+1))-$A949,RaporTarihi-$A949))</f>
        <v/>
      </c>
      <c r="H949" s="18" t="n">
        <f aca="false">IF($F949="",0,ROUND($F949*$G949,0))</f>
        <v>0</v>
      </c>
      <c r="I949" s="18" t="n">
        <f aca="false">IF($H949="",0,ROUND($H949*AdatFaizOran/AdatYilGunSayisi,2))</f>
        <v>0</v>
      </c>
      <c r="J949" s="22"/>
    </row>
    <row r="950" customFormat="false" ht="15" hidden="false" customHeight="false" outlineLevel="0" collapsed="false">
      <c r="A950" s="21"/>
      <c r="B950" s="22"/>
      <c r="C950" s="22"/>
      <c r="D950" s="23"/>
      <c r="E950" s="20" t="str">
        <f aca="false">IF($A950="","",IF($C950="Borç",-$D950,$D950))</f>
        <v/>
      </c>
      <c r="F950" s="18" t="str">
        <f aca="false">IF($A950="","",IFERROR(IF(INDEX(tblOrtak[Ortak Adı],ROW($A950)-ROW(tblOrtak[[#Headers],[Tarih]])-1)=$B950,INDEX(tblOrtak[Bakiye (₺)],ROW($A950)-ROW(tblOrtak[[#Headers],[Tarih]])-1)+$E950,$E950),$E950))</f>
        <v/>
      </c>
      <c r="G950" s="19" t="str">
        <f aca="false">IF($A950="","",IFERROR(IF(INDEX(tblOrtak[Tarih],ROW($A950)-ROW(tblOrtak[[#Headers],[Tarih]])+1)=0,RaporTarihi,INDEX(tblOrtak[Tarih],ROW($A950)-ROW(tblOrtak[[#Headers],[Tarih]])+1))-$A950,RaporTarihi-$A950))</f>
        <v/>
      </c>
      <c r="H950" s="18" t="n">
        <f aca="false">IF($F950="",0,ROUND($F950*$G950,0))</f>
        <v>0</v>
      </c>
      <c r="I950" s="18" t="n">
        <f aca="false">IF($H950="",0,ROUND($H950*AdatFaizOran/AdatYilGunSayisi,2))</f>
        <v>0</v>
      </c>
      <c r="J950" s="22"/>
    </row>
    <row r="951" customFormat="false" ht="15" hidden="false" customHeight="false" outlineLevel="0" collapsed="false">
      <c r="A951" s="21"/>
      <c r="B951" s="22"/>
      <c r="C951" s="22"/>
      <c r="D951" s="23"/>
      <c r="E951" s="20" t="str">
        <f aca="false">IF($A951="","",IF($C951="Borç",-$D951,$D951))</f>
        <v/>
      </c>
      <c r="F951" s="18" t="str">
        <f aca="false">IF($A951="","",IFERROR(IF(INDEX(tblOrtak[Ortak Adı],ROW($A951)-ROW(tblOrtak[[#Headers],[Tarih]])-1)=$B951,INDEX(tblOrtak[Bakiye (₺)],ROW($A951)-ROW(tblOrtak[[#Headers],[Tarih]])-1)+$E951,$E951),$E951))</f>
        <v/>
      </c>
      <c r="G951" s="19" t="str">
        <f aca="false">IF($A951="","",IFERROR(IF(INDEX(tblOrtak[Tarih],ROW($A951)-ROW(tblOrtak[[#Headers],[Tarih]])+1)=0,RaporTarihi,INDEX(tblOrtak[Tarih],ROW($A951)-ROW(tblOrtak[[#Headers],[Tarih]])+1))-$A951,RaporTarihi-$A951))</f>
        <v/>
      </c>
      <c r="H951" s="18" t="n">
        <f aca="false">IF($F951="",0,ROUND($F951*$G951,0))</f>
        <v>0</v>
      </c>
      <c r="I951" s="18" t="n">
        <f aca="false">IF($H951="",0,ROUND($H951*AdatFaizOran/AdatYilGunSayisi,2))</f>
        <v>0</v>
      </c>
      <c r="J951" s="22"/>
    </row>
    <row r="952" customFormat="false" ht="15" hidden="false" customHeight="false" outlineLevel="0" collapsed="false">
      <c r="A952" s="21"/>
      <c r="B952" s="22"/>
      <c r="C952" s="22"/>
      <c r="D952" s="23"/>
      <c r="E952" s="20" t="str">
        <f aca="false">IF($A952="","",IF($C952="Borç",-$D952,$D952))</f>
        <v/>
      </c>
      <c r="F952" s="18" t="str">
        <f aca="false">IF($A952="","",IFERROR(IF(INDEX(tblOrtak[Ortak Adı],ROW($A952)-ROW(tblOrtak[[#Headers],[Tarih]])-1)=$B952,INDEX(tblOrtak[Bakiye (₺)],ROW($A952)-ROW(tblOrtak[[#Headers],[Tarih]])-1)+$E952,$E952),$E952))</f>
        <v/>
      </c>
      <c r="G952" s="19" t="str">
        <f aca="false">IF($A952="","",IFERROR(IF(INDEX(tblOrtak[Tarih],ROW($A952)-ROW(tblOrtak[[#Headers],[Tarih]])+1)=0,RaporTarihi,INDEX(tblOrtak[Tarih],ROW($A952)-ROW(tblOrtak[[#Headers],[Tarih]])+1))-$A952,RaporTarihi-$A952))</f>
        <v/>
      </c>
      <c r="H952" s="18" t="n">
        <f aca="false">IF($F952="",0,ROUND($F952*$G952,0))</f>
        <v>0</v>
      </c>
      <c r="I952" s="18" t="n">
        <f aca="false">IF($H952="",0,ROUND($H952*AdatFaizOran/AdatYilGunSayisi,2))</f>
        <v>0</v>
      </c>
      <c r="J952" s="22"/>
    </row>
    <row r="953" customFormat="false" ht="15" hidden="false" customHeight="false" outlineLevel="0" collapsed="false">
      <c r="A953" s="21"/>
      <c r="B953" s="22"/>
      <c r="C953" s="22"/>
      <c r="D953" s="23"/>
      <c r="E953" s="20" t="str">
        <f aca="false">IF($A953="","",IF($C953="Borç",-$D953,$D953))</f>
        <v/>
      </c>
      <c r="F953" s="18" t="str">
        <f aca="false">IF($A953="","",IFERROR(IF(INDEX(tblOrtak[Ortak Adı],ROW($A953)-ROW(tblOrtak[[#Headers],[Tarih]])-1)=$B953,INDEX(tblOrtak[Bakiye (₺)],ROW($A953)-ROW(tblOrtak[[#Headers],[Tarih]])-1)+$E953,$E953),$E953))</f>
        <v/>
      </c>
      <c r="G953" s="19" t="str">
        <f aca="false">IF($A953="","",IFERROR(IF(INDEX(tblOrtak[Tarih],ROW($A953)-ROW(tblOrtak[[#Headers],[Tarih]])+1)=0,RaporTarihi,INDEX(tblOrtak[Tarih],ROW($A953)-ROW(tblOrtak[[#Headers],[Tarih]])+1))-$A953,RaporTarihi-$A953))</f>
        <v/>
      </c>
      <c r="H953" s="18" t="n">
        <f aca="false">IF($F953="",0,ROUND($F953*$G953,0))</f>
        <v>0</v>
      </c>
      <c r="I953" s="18" t="n">
        <f aca="false">IF($H953="",0,ROUND($H953*AdatFaizOran/AdatYilGunSayisi,2))</f>
        <v>0</v>
      </c>
      <c r="J953" s="22"/>
    </row>
    <row r="954" customFormat="false" ht="15" hidden="false" customHeight="false" outlineLevel="0" collapsed="false">
      <c r="A954" s="21"/>
      <c r="B954" s="22"/>
      <c r="C954" s="22"/>
      <c r="D954" s="23"/>
      <c r="E954" s="20" t="str">
        <f aca="false">IF($A954="","",IF($C954="Borç",-$D954,$D954))</f>
        <v/>
      </c>
      <c r="F954" s="18" t="str">
        <f aca="false">IF($A954="","",IFERROR(IF(INDEX(tblOrtak[Ortak Adı],ROW($A954)-ROW(tblOrtak[[#Headers],[Tarih]])-1)=$B954,INDEX(tblOrtak[Bakiye (₺)],ROW($A954)-ROW(tblOrtak[[#Headers],[Tarih]])-1)+$E954,$E954),$E954))</f>
        <v/>
      </c>
      <c r="G954" s="19" t="str">
        <f aca="false">IF($A954="","",IFERROR(IF(INDEX(tblOrtak[Tarih],ROW($A954)-ROW(tblOrtak[[#Headers],[Tarih]])+1)=0,RaporTarihi,INDEX(tblOrtak[Tarih],ROW($A954)-ROW(tblOrtak[[#Headers],[Tarih]])+1))-$A954,RaporTarihi-$A954))</f>
        <v/>
      </c>
      <c r="H954" s="18" t="n">
        <f aca="false">IF($F954="",0,ROUND($F954*$G954,0))</f>
        <v>0</v>
      </c>
      <c r="I954" s="18" t="n">
        <f aca="false">IF($H954="",0,ROUND($H954*AdatFaizOran/AdatYilGunSayisi,2))</f>
        <v>0</v>
      </c>
      <c r="J954" s="22"/>
    </row>
    <row r="955" customFormat="false" ht="15" hidden="false" customHeight="false" outlineLevel="0" collapsed="false">
      <c r="A955" s="21"/>
      <c r="B955" s="22"/>
      <c r="C955" s="22"/>
      <c r="D955" s="23"/>
      <c r="E955" s="20" t="str">
        <f aca="false">IF($A955="","",IF($C955="Borç",-$D955,$D955))</f>
        <v/>
      </c>
      <c r="F955" s="18" t="str">
        <f aca="false">IF($A955="","",IFERROR(IF(INDEX(tblOrtak[Ortak Adı],ROW($A955)-ROW(tblOrtak[[#Headers],[Tarih]])-1)=$B955,INDEX(tblOrtak[Bakiye (₺)],ROW($A955)-ROW(tblOrtak[[#Headers],[Tarih]])-1)+$E955,$E955),$E955))</f>
        <v/>
      </c>
      <c r="G955" s="19" t="str">
        <f aca="false">IF($A955="","",IFERROR(IF(INDEX(tblOrtak[Tarih],ROW($A955)-ROW(tblOrtak[[#Headers],[Tarih]])+1)=0,RaporTarihi,INDEX(tblOrtak[Tarih],ROW($A955)-ROW(tblOrtak[[#Headers],[Tarih]])+1))-$A955,RaporTarihi-$A955))</f>
        <v/>
      </c>
      <c r="H955" s="18" t="n">
        <f aca="false">IF($F955="",0,ROUND($F955*$G955,0))</f>
        <v>0</v>
      </c>
      <c r="I955" s="18" t="n">
        <f aca="false">IF($H955="",0,ROUND($H955*AdatFaizOran/AdatYilGunSayisi,2))</f>
        <v>0</v>
      </c>
      <c r="J955" s="22"/>
    </row>
    <row r="956" customFormat="false" ht="15" hidden="false" customHeight="false" outlineLevel="0" collapsed="false">
      <c r="A956" s="21"/>
      <c r="B956" s="22"/>
      <c r="C956" s="22"/>
      <c r="D956" s="23"/>
      <c r="E956" s="20" t="str">
        <f aca="false">IF($A956="","",IF($C956="Borç",-$D956,$D956))</f>
        <v/>
      </c>
      <c r="F956" s="18" t="str">
        <f aca="false">IF($A956="","",IFERROR(IF(INDEX(tblOrtak[Ortak Adı],ROW($A956)-ROW(tblOrtak[[#Headers],[Tarih]])-1)=$B956,INDEX(tblOrtak[Bakiye (₺)],ROW($A956)-ROW(tblOrtak[[#Headers],[Tarih]])-1)+$E956,$E956),$E956))</f>
        <v/>
      </c>
      <c r="G956" s="19" t="str">
        <f aca="false">IF($A956="","",IFERROR(IF(INDEX(tblOrtak[Tarih],ROW($A956)-ROW(tblOrtak[[#Headers],[Tarih]])+1)=0,RaporTarihi,INDEX(tblOrtak[Tarih],ROW($A956)-ROW(tblOrtak[[#Headers],[Tarih]])+1))-$A956,RaporTarihi-$A956))</f>
        <v/>
      </c>
      <c r="H956" s="18" t="n">
        <f aca="false">IF($F956="",0,ROUND($F956*$G956,0))</f>
        <v>0</v>
      </c>
      <c r="I956" s="18" t="n">
        <f aca="false">IF($H956="",0,ROUND($H956*AdatFaizOran/AdatYilGunSayisi,2))</f>
        <v>0</v>
      </c>
      <c r="J956" s="22"/>
    </row>
    <row r="957" customFormat="false" ht="15" hidden="false" customHeight="false" outlineLevel="0" collapsed="false">
      <c r="A957" s="21"/>
      <c r="B957" s="22"/>
      <c r="C957" s="22"/>
      <c r="D957" s="23"/>
      <c r="E957" s="20" t="str">
        <f aca="false">IF($A957="","",IF($C957="Borç",-$D957,$D957))</f>
        <v/>
      </c>
      <c r="F957" s="18" t="str">
        <f aca="false">IF($A957="","",IFERROR(IF(INDEX(tblOrtak[Ortak Adı],ROW($A957)-ROW(tblOrtak[[#Headers],[Tarih]])-1)=$B957,INDEX(tblOrtak[Bakiye (₺)],ROW($A957)-ROW(tblOrtak[[#Headers],[Tarih]])-1)+$E957,$E957),$E957))</f>
        <v/>
      </c>
      <c r="G957" s="19" t="str">
        <f aca="false">IF($A957="","",IFERROR(IF(INDEX(tblOrtak[Tarih],ROW($A957)-ROW(tblOrtak[[#Headers],[Tarih]])+1)=0,RaporTarihi,INDEX(tblOrtak[Tarih],ROW($A957)-ROW(tblOrtak[[#Headers],[Tarih]])+1))-$A957,RaporTarihi-$A957))</f>
        <v/>
      </c>
      <c r="H957" s="18" t="n">
        <f aca="false">IF($F957="",0,ROUND($F957*$G957,0))</f>
        <v>0</v>
      </c>
      <c r="I957" s="18" t="n">
        <f aca="false">IF($H957="",0,ROUND($H957*AdatFaizOran/AdatYilGunSayisi,2))</f>
        <v>0</v>
      </c>
      <c r="J957" s="22"/>
    </row>
    <row r="958" customFormat="false" ht="15" hidden="false" customHeight="false" outlineLevel="0" collapsed="false">
      <c r="A958" s="21"/>
      <c r="B958" s="22"/>
      <c r="C958" s="22"/>
      <c r="D958" s="23"/>
      <c r="E958" s="20" t="str">
        <f aca="false">IF($A958="","",IF($C958="Borç",-$D958,$D958))</f>
        <v/>
      </c>
      <c r="F958" s="18" t="str">
        <f aca="false">IF($A958="","",IFERROR(IF(INDEX(tblOrtak[Ortak Adı],ROW($A958)-ROW(tblOrtak[[#Headers],[Tarih]])-1)=$B958,INDEX(tblOrtak[Bakiye (₺)],ROW($A958)-ROW(tblOrtak[[#Headers],[Tarih]])-1)+$E958,$E958),$E958))</f>
        <v/>
      </c>
      <c r="G958" s="19" t="str">
        <f aca="false">IF($A958="","",IFERROR(IF(INDEX(tblOrtak[Tarih],ROW($A958)-ROW(tblOrtak[[#Headers],[Tarih]])+1)=0,RaporTarihi,INDEX(tblOrtak[Tarih],ROW($A958)-ROW(tblOrtak[[#Headers],[Tarih]])+1))-$A958,RaporTarihi-$A958))</f>
        <v/>
      </c>
      <c r="H958" s="18" t="n">
        <f aca="false">IF($F958="",0,ROUND($F958*$G958,0))</f>
        <v>0</v>
      </c>
      <c r="I958" s="18" t="n">
        <f aca="false">IF($H958="",0,ROUND($H958*AdatFaizOran/AdatYilGunSayisi,2))</f>
        <v>0</v>
      </c>
      <c r="J958" s="22"/>
    </row>
    <row r="959" customFormat="false" ht="15" hidden="false" customHeight="false" outlineLevel="0" collapsed="false">
      <c r="A959" s="21"/>
      <c r="B959" s="22"/>
      <c r="C959" s="22"/>
      <c r="D959" s="23"/>
      <c r="E959" s="20" t="str">
        <f aca="false">IF($A959="","",IF($C959="Borç",-$D959,$D959))</f>
        <v/>
      </c>
      <c r="F959" s="18" t="str">
        <f aca="false">IF($A959="","",IFERROR(IF(INDEX(tblOrtak[Ortak Adı],ROW($A959)-ROW(tblOrtak[[#Headers],[Tarih]])-1)=$B959,INDEX(tblOrtak[Bakiye (₺)],ROW($A959)-ROW(tblOrtak[[#Headers],[Tarih]])-1)+$E959,$E959),$E959))</f>
        <v/>
      </c>
      <c r="G959" s="19" t="str">
        <f aca="false">IF($A959="","",IFERROR(IF(INDEX(tblOrtak[Tarih],ROW($A959)-ROW(tblOrtak[[#Headers],[Tarih]])+1)=0,RaporTarihi,INDEX(tblOrtak[Tarih],ROW($A959)-ROW(tblOrtak[[#Headers],[Tarih]])+1))-$A959,RaporTarihi-$A959))</f>
        <v/>
      </c>
      <c r="H959" s="18" t="n">
        <f aca="false">IF($F959="",0,ROUND($F959*$G959,0))</f>
        <v>0</v>
      </c>
      <c r="I959" s="18" t="n">
        <f aca="false">IF($H959="",0,ROUND($H959*AdatFaizOran/AdatYilGunSayisi,2))</f>
        <v>0</v>
      </c>
      <c r="J959" s="22"/>
    </row>
    <row r="960" customFormat="false" ht="15" hidden="false" customHeight="false" outlineLevel="0" collapsed="false">
      <c r="A960" s="21"/>
      <c r="B960" s="22"/>
      <c r="C960" s="22"/>
      <c r="D960" s="23"/>
      <c r="E960" s="20" t="str">
        <f aca="false">IF($A960="","",IF($C960="Borç",-$D960,$D960))</f>
        <v/>
      </c>
      <c r="F960" s="18" t="str">
        <f aca="false">IF($A960="","",IFERROR(IF(INDEX(tblOrtak[Ortak Adı],ROW($A960)-ROW(tblOrtak[[#Headers],[Tarih]])-1)=$B960,INDEX(tblOrtak[Bakiye (₺)],ROW($A960)-ROW(tblOrtak[[#Headers],[Tarih]])-1)+$E960,$E960),$E960))</f>
        <v/>
      </c>
      <c r="G960" s="19" t="str">
        <f aca="false">IF($A960="","",IFERROR(IF(INDEX(tblOrtak[Tarih],ROW($A960)-ROW(tblOrtak[[#Headers],[Tarih]])+1)=0,RaporTarihi,INDEX(tblOrtak[Tarih],ROW($A960)-ROW(tblOrtak[[#Headers],[Tarih]])+1))-$A960,RaporTarihi-$A960))</f>
        <v/>
      </c>
      <c r="H960" s="18" t="n">
        <f aca="false">IF($F960="",0,ROUND($F960*$G960,0))</f>
        <v>0</v>
      </c>
      <c r="I960" s="18" t="n">
        <f aca="false">IF($H960="",0,ROUND($H960*AdatFaizOran/AdatYilGunSayisi,2))</f>
        <v>0</v>
      </c>
      <c r="J960" s="22"/>
    </row>
    <row r="961" customFormat="false" ht="15" hidden="false" customHeight="false" outlineLevel="0" collapsed="false">
      <c r="A961" s="21"/>
      <c r="B961" s="22"/>
      <c r="C961" s="22"/>
      <c r="D961" s="23"/>
      <c r="E961" s="20" t="str">
        <f aca="false">IF($A961="","",IF($C961="Borç",-$D961,$D961))</f>
        <v/>
      </c>
      <c r="F961" s="18" t="str">
        <f aca="false">IF($A961="","",IFERROR(IF(INDEX(tblOrtak[Ortak Adı],ROW($A961)-ROW(tblOrtak[[#Headers],[Tarih]])-1)=$B961,INDEX(tblOrtak[Bakiye (₺)],ROW($A961)-ROW(tblOrtak[[#Headers],[Tarih]])-1)+$E961,$E961),$E961))</f>
        <v/>
      </c>
      <c r="G961" s="19" t="str">
        <f aca="false">IF($A961="","",IFERROR(IF(INDEX(tblOrtak[Tarih],ROW($A961)-ROW(tblOrtak[[#Headers],[Tarih]])+1)=0,RaporTarihi,INDEX(tblOrtak[Tarih],ROW($A961)-ROW(tblOrtak[[#Headers],[Tarih]])+1))-$A961,RaporTarihi-$A961))</f>
        <v/>
      </c>
      <c r="H961" s="18" t="n">
        <f aca="false">IF($F961="",0,ROUND($F961*$G961,0))</f>
        <v>0</v>
      </c>
      <c r="I961" s="18" t="n">
        <f aca="false">IF($H961="",0,ROUND($H961*AdatFaizOran/AdatYilGunSayisi,2))</f>
        <v>0</v>
      </c>
      <c r="J961" s="22"/>
    </row>
    <row r="962" customFormat="false" ht="15" hidden="false" customHeight="false" outlineLevel="0" collapsed="false">
      <c r="A962" s="21"/>
      <c r="B962" s="22"/>
      <c r="C962" s="22"/>
      <c r="D962" s="23"/>
      <c r="E962" s="20" t="str">
        <f aca="false">IF($A962="","",IF($C962="Borç",-$D962,$D962))</f>
        <v/>
      </c>
      <c r="F962" s="18" t="str">
        <f aca="false">IF($A962="","",IFERROR(IF(INDEX(tblOrtak[Ortak Adı],ROW($A962)-ROW(tblOrtak[[#Headers],[Tarih]])-1)=$B962,INDEX(tblOrtak[Bakiye (₺)],ROW($A962)-ROW(tblOrtak[[#Headers],[Tarih]])-1)+$E962,$E962),$E962))</f>
        <v/>
      </c>
      <c r="G962" s="19" t="str">
        <f aca="false">IF($A962="","",IFERROR(IF(INDEX(tblOrtak[Tarih],ROW($A962)-ROW(tblOrtak[[#Headers],[Tarih]])+1)=0,RaporTarihi,INDEX(tblOrtak[Tarih],ROW($A962)-ROW(tblOrtak[[#Headers],[Tarih]])+1))-$A962,RaporTarihi-$A962))</f>
        <v/>
      </c>
      <c r="H962" s="18" t="n">
        <f aca="false">IF($F962="",0,ROUND($F962*$G962,0))</f>
        <v>0</v>
      </c>
      <c r="I962" s="18" t="n">
        <f aca="false">IF($H962="",0,ROUND($H962*AdatFaizOran/AdatYilGunSayisi,2))</f>
        <v>0</v>
      </c>
      <c r="J962" s="22"/>
    </row>
    <row r="963" customFormat="false" ht="15" hidden="false" customHeight="false" outlineLevel="0" collapsed="false">
      <c r="A963" s="21"/>
      <c r="B963" s="22"/>
      <c r="C963" s="22"/>
      <c r="D963" s="23"/>
      <c r="E963" s="20" t="str">
        <f aca="false">IF($A963="","",IF($C963="Borç",-$D963,$D963))</f>
        <v/>
      </c>
      <c r="F963" s="18" t="str">
        <f aca="false">IF($A963="","",IFERROR(IF(INDEX(tblOrtak[Ortak Adı],ROW($A963)-ROW(tblOrtak[[#Headers],[Tarih]])-1)=$B963,INDEX(tblOrtak[Bakiye (₺)],ROW($A963)-ROW(tblOrtak[[#Headers],[Tarih]])-1)+$E963,$E963),$E963))</f>
        <v/>
      </c>
      <c r="G963" s="19" t="str">
        <f aca="false">IF($A963="","",IFERROR(IF(INDEX(tblOrtak[Tarih],ROW($A963)-ROW(tblOrtak[[#Headers],[Tarih]])+1)=0,RaporTarihi,INDEX(tblOrtak[Tarih],ROW($A963)-ROW(tblOrtak[[#Headers],[Tarih]])+1))-$A963,RaporTarihi-$A963))</f>
        <v/>
      </c>
      <c r="H963" s="18" t="n">
        <f aca="false">IF($F963="",0,ROUND($F963*$G963,0))</f>
        <v>0</v>
      </c>
      <c r="I963" s="18" t="n">
        <f aca="false">IF($H963="",0,ROUND($H963*AdatFaizOran/AdatYilGunSayisi,2))</f>
        <v>0</v>
      </c>
      <c r="J963" s="22"/>
    </row>
    <row r="964" customFormat="false" ht="15" hidden="false" customHeight="false" outlineLevel="0" collapsed="false">
      <c r="A964" s="21"/>
      <c r="B964" s="22"/>
      <c r="C964" s="22"/>
      <c r="D964" s="23"/>
      <c r="E964" s="20" t="str">
        <f aca="false">IF($A964="","",IF($C964="Borç",-$D964,$D964))</f>
        <v/>
      </c>
      <c r="F964" s="18" t="str">
        <f aca="false">IF($A964="","",IFERROR(IF(INDEX(tblOrtak[Ortak Adı],ROW($A964)-ROW(tblOrtak[[#Headers],[Tarih]])-1)=$B964,INDEX(tblOrtak[Bakiye (₺)],ROW($A964)-ROW(tblOrtak[[#Headers],[Tarih]])-1)+$E964,$E964),$E964))</f>
        <v/>
      </c>
      <c r="G964" s="19" t="str">
        <f aca="false">IF($A964="","",IFERROR(IF(INDEX(tblOrtak[Tarih],ROW($A964)-ROW(tblOrtak[[#Headers],[Tarih]])+1)=0,RaporTarihi,INDEX(tblOrtak[Tarih],ROW($A964)-ROW(tblOrtak[[#Headers],[Tarih]])+1))-$A964,RaporTarihi-$A964))</f>
        <v/>
      </c>
      <c r="H964" s="18" t="n">
        <f aca="false">IF($F964="",0,ROUND($F964*$G964,0))</f>
        <v>0</v>
      </c>
      <c r="I964" s="18" t="n">
        <f aca="false">IF($H964="",0,ROUND($H964*AdatFaizOran/AdatYilGunSayisi,2))</f>
        <v>0</v>
      </c>
      <c r="J964" s="22"/>
    </row>
    <row r="965" customFormat="false" ht="15" hidden="false" customHeight="false" outlineLevel="0" collapsed="false">
      <c r="A965" s="21"/>
      <c r="B965" s="22"/>
      <c r="C965" s="22"/>
      <c r="D965" s="23"/>
      <c r="E965" s="20" t="str">
        <f aca="false">IF($A965="","",IF($C965="Borç",-$D965,$D965))</f>
        <v/>
      </c>
      <c r="F965" s="18" t="str">
        <f aca="false">IF($A965="","",IFERROR(IF(INDEX(tblOrtak[Ortak Adı],ROW($A965)-ROW(tblOrtak[[#Headers],[Tarih]])-1)=$B965,INDEX(tblOrtak[Bakiye (₺)],ROW($A965)-ROW(tblOrtak[[#Headers],[Tarih]])-1)+$E965,$E965),$E965))</f>
        <v/>
      </c>
      <c r="G965" s="19" t="str">
        <f aca="false">IF($A965="","",IFERROR(IF(INDEX(tblOrtak[Tarih],ROW($A965)-ROW(tblOrtak[[#Headers],[Tarih]])+1)=0,RaporTarihi,INDEX(tblOrtak[Tarih],ROW($A965)-ROW(tblOrtak[[#Headers],[Tarih]])+1))-$A965,RaporTarihi-$A965))</f>
        <v/>
      </c>
      <c r="H965" s="18" t="n">
        <f aca="false">IF($F965="",0,ROUND($F965*$G965,0))</f>
        <v>0</v>
      </c>
      <c r="I965" s="18" t="n">
        <f aca="false">IF($H965="",0,ROUND($H965*AdatFaizOran/AdatYilGunSayisi,2))</f>
        <v>0</v>
      </c>
      <c r="J965" s="22"/>
    </row>
    <row r="966" customFormat="false" ht="15" hidden="false" customHeight="false" outlineLevel="0" collapsed="false">
      <c r="A966" s="21"/>
      <c r="B966" s="22"/>
      <c r="C966" s="22"/>
      <c r="D966" s="23"/>
      <c r="E966" s="20" t="str">
        <f aca="false">IF($A966="","",IF($C966="Borç",-$D966,$D966))</f>
        <v/>
      </c>
      <c r="F966" s="18" t="str">
        <f aca="false">IF($A966="","",IFERROR(IF(INDEX(tblOrtak[Ortak Adı],ROW($A966)-ROW(tblOrtak[[#Headers],[Tarih]])-1)=$B966,INDEX(tblOrtak[Bakiye (₺)],ROW($A966)-ROW(tblOrtak[[#Headers],[Tarih]])-1)+$E966,$E966),$E966))</f>
        <v/>
      </c>
      <c r="G966" s="19" t="str">
        <f aca="false">IF($A966="","",IFERROR(IF(INDEX(tblOrtak[Tarih],ROW($A966)-ROW(tblOrtak[[#Headers],[Tarih]])+1)=0,RaporTarihi,INDEX(tblOrtak[Tarih],ROW($A966)-ROW(tblOrtak[[#Headers],[Tarih]])+1))-$A966,RaporTarihi-$A966))</f>
        <v/>
      </c>
      <c r="H966" s="18" t="n">
        <f aca="false">IF($F966="",0,ROUND($F966*$G966,0))</f>
        <v>0</v>
      </c>
      <c r="I966" s="18" t="n">
        <f aca="false">IF($H966="",0,ROUND($H966*AdatFaizOran/AdatYilGunSayisi,2))</f>
        <v>0</v>
      </c>
      <c r="J966" s="22"/>
    </row>
    <row r="967" customFormat="false" ht="15" hidden="false" customHeight="false" outlineLevel="0" collapsed="false">
      <c r="A967" s="21"/>
      <c r="B967" s="22"/>
      <c r="C967" s="22"/>
      <c r="D967" s="23"/>
      <c r="E967" s="20" t="str">
        <f aca="false">IF($A967="","",IF($C967="Borç",-$D967,$D967))</f>
        <v/>
      </c>
      <c r="F967" s="18" t="str">
        <f aca="false">IF($A967="","",IFERROR(IF(INDEX(tblOrtak[Ortak Adı],ROW($A967)-ROW(tblOrtak[[#Headers],[Tarih]])-1)=$B967,INDEX(tblOrtak[Bakiye (₺)],ROW($A967)-ROW(tblOrtak[[#Headers],[Tarih]])-1)+$E967,$E967),$E967))</f>
        <v/>
      </c>
      <c r="G967" s="19" t="str">
        <f aca="false">IF($A967="","",IFERROR(IF(INDEX(tblOrtak[Tarih],ROW($A967)-ROW(tblOrtak[[#Headers],[Tarih]])+1)=0,RaporTarihi,INDEX(tblOrtak[Tarih],ROW($A967)-ROW(tblOrtak[[#Headers],[Tarih]])+1))-$A967,RaporTarihi-$A967))</f>
        <v/>
      </c>
      <c r="H967" s="18" t="n">
        <f aca="false">IF($F967="",0,ROUND($F967*$G967,0))</f>
        <v>0</v>
      </c>
      <c r="I967" s="18" t="n">
        <f aca="false">IF($H967="",0,ROUND($H967*AdatFaizOran/AdatYilGunSayisi,2))</f>
        <v>0</v>
      </c>
      <c r="J967" s="22"/>
    </row>
    <row r="968" customFormat="false" ht="15" hidden="false" customHeight="false" outlineLevel="0" collapsed="false">
      <c r="A968" s="21"/>
      <c r="B968" s="22"/>
      <c r="C968" s="22"/>
      <c r="D968" s="23"/>
      <c r="E968" s="20" t="str">
        <f aca="false">IF($A968="","",IF($C968="Borç",-$D968,$D968))</f>
        <v/>
      </c>
      <c r="F968" s="18" t="str">
        <f aca="false">IF($A968="","",IFERROR(IF(INDEX(tblOrtak[Ortak Adı],ROW($A968)-ROW(tblOrtak[[#Headers],[Tarih]])-1)=$B968,INDEX(tblOrtak[Bakiye (₺)],ROW($A968)-ROW(tblOrtak[[#Headers],[Tarih]])-1)+$E968,$E968),$E968))</f>
        <v/>
      </c>
      <c r="G968" s="19" t="str">
        <f aca="false">IF($A968="","",IFERROR(IF(INDEX(tblOrtak[Tarih],ROW($A968)-ROW(tblOrtak[[#Headers],[Tarih]])+1)=0,RaporTarihi,INDEX(tblOrtak[Tarih],ROW($A968)-ROW(tblOrtak[[#Headers],[Tarih]])+1))-$A968,RaporTarihi-$A968))</f>
        <v/>
      </c>
      <c r="H968" s="18" t="n">
        <f aca="false">IF($F968="",0,ROUND($F968*$G968,0))</f>
        <v>0</v>
      </c>
      <c r="I968" s="18" t="n">
        <f aca="false">IF($H968="",0,ROUND($H968*AdatFaizOran/AdatYilGunSayisi,2))</f>
        <v>0</v>
      </c>
      <c r="J968" s="22"/>
    </row>
    <row r="969" customFormat="false" ht="15" hidden="false" customHeight="false" outlineLevel="0" collapsed="false">
      <c r="A969" s="21"/>
      <c r="B969" s="22"/>
      <c r="C969" s="22"/>
      <c r="D969" s="23"/>
      <c r="E969" s="20" t="str">
        <f aca="false">IF($A969="","",IF($C969="Borç",-$D969,$D969))</f>
        <v/>
      </c>
      <c r="F969" s="18" t="str">
        <f aca="false">IF($A969="","",IFERROR(IF(INDEX(tblOrtak[Ortak Adı],ROW($A969)-ROW(tblOrtak[[#Headers],[Tarih]])-1)=$B969,INDEX(tblOrtak[Bakiye (₺)],ROW($A969)-ROW(tblOrtak[[#Headers],[Tarih]])-1)+$E969,$E969),$E969))</f>
        <v/>
      </c>
      <c r="G969" s="19" t="str">
        <f aca="false">IF($A969="","",IFERROR(IF(INDEX(tblOrtak[Tarih],ROW($A969)-ROW(tblOrtak[[#Headers],[Tarih]])+1)=0,RaporTarihi,INDEX(tblOrtak[Tarih],ROW($A969)-ROW(tblOrtak[[#Headers],[Tarih]])+1))-$A969,RaporTarihi-$A969))</f>
        <v/>
      </c>
      <c r="H969" s="18" t="n">
        <f aca="false">IF($F969="",0,ROUND($F969*$G969,0))</f>
        <v>0</v>
      </c>
      <c r="I969" s="18" t="n">
        <f aca="false">IF($H969="",0,ROUND($H969*AdatFaizOran/AdatYilGunSayisi,2))</f>
        <v>0</v>
      </c>
      <c r="J969" s="22"/>
    </row>
    <row r="970" customFormat="false" ht="15" hidden="false" customHeight="false" outlineLevel="0" collapsed="false">
      <c r="A970" s="21"/>
      <c r="B970" s="22"/>
      <c r="C970" s="22"/>
      <c r="D970" s="23"/>
      <c r="E970" s="20" t="str">
        <f aca="false">IF($A970="","",IF($C970="Borç",-$D970,$D970))</f>
        <v/>
      </c>
      <c r="F970" s="18" t="str">
        <f aca="false">IF($A970="","",IFERROR(IF(INDEX(tblOrtak[Ortak Adı],ROW($A970)-ROW(tblOrtak[[#Headers],[Tarih]])-1)=$B970,INDEX(tblOrtak[Bakiye (₺)],ROW($A970)-ROW(tblOrtak[[#Headers],[Tarih]])-1)+$E970,$E970),$E970))</f>
        <v/>
      </c>
      <c r="G970" s="19" t="str">
        <f aca="false">IF($A970="","",IFERROR(IF(INDEX(tblOrtak[Tarih],ROW($A970)-ROW(tblOrtak[[#Headers],[Tarih]])+1)=0,RaporTarihi,INDEX(tblOrtak[Tarih],ROW($A970)-ROW(tblOrtak[[#Headers],[Tarih]])+1))-$A970,RaporTarihi-$A970))</f>
        <v/>
      </c>
      <c r="H970" s="18" t="n">
        <f aca="false">IF($F970="",0,ROUND($F970*$G970,0))</f>
        <v>0</v>
      </c>
      <c r="I970" s="18" t="n">
        <f aca="false">IF($H970="",0,ROUND($H970*AdatFaizOran/AdatYilGunSayisi,2))</f>
        <v>0</v>
      </c>
      <c r="J970" s="22"/>
    </row>
    <row r="971" customFormat="false" ht="15" hidden="false" customHeight="false" outlineLevel="0" collapsed="false">
      <c r="A971" s="21"/>
      <c r="B971" s="22"/>
      <c r="C971" s="22"/>
      <c r="D971" s="23"/>
      <c r="E971" s="20" t="str">
        <f aca="false">IF($A971="","",IF($C971="Borç",-$D971,$D971))</f>
        <v/>
      </c>
      <c r="F971" s="18" t="str">
        <f aca="false">IF($A971="","",IFERROR(IF(INDEX(tblOrtak[Ortak Adı],ROW($A971)-ROW(tblOrtak[[#Headers],[Tarih]])-1)=$B971,INDEX(tblOrtak[Bakiye (₺)],ROW($A971)-ROW(tblOrtak[[#Headers],[Tarih]])-1)+$E971,$E971),$E971))</f>
        <v/>
      </c>
      <c r="G971" s="19" t="str">
        <f aca="false">IF($A971="","",IFERROR(IF(INDEX(tblOrtak[Tarih],ROW($A971)-ROW(tblOrtak[[#Headers],[Tarih]])+1)=0,RaporTarihi,INDEX(tblOrtak[Tarih],ROW($A971)-ROW(tblOrtak[[#Headers],[Tarih]])+1))-$A971,RaporTarihi-$A971))</f>
        <v/>
      </c>
      <c r="H971" s="18" t="n">
        <f aca="false">IF($F971="",0,ROUND($F971*$G971,0))</f>
        <v>0</v>
      </c>
      <c r="I971" s="18" t="n">
        <f aca="false">IF($H971="",0,ROUND($H971*AdatFaizOran/AdatYilGunSayisi,2))</f>
        <v>0</v>
      </c>
      <c r="J971" s="22"/>
    </row>
    <row r="972" customFormat="false" ht="15" hidden="false" customHeight="false" outlineLevel="0" collapsed="false">
      <c r="A972" s="21"/>
      <c r="B972" s="22"/>
      <c r="C972" s="22"/>
      <c r="D972" s="23"/>
      <c r="E972" s="20" t="str">
        <f aca="false">IF($A972="","",IF($C972="Borç",-$D972,$D972))</f>
        <v/>
      </c>
      <c r="F972" s="18" t="str">
        <f aca="false">IF($A972="","",IFERROR(IF(INDEX(tblOrtak[Ortak Adı],ROW($A972)-ROW(tblOrtak[[#Headers],[Tarih]])-1)=$B972,INDEX(tblOrtak[Bakiye (₺)],ROW($A972)-ROW(tblOrtak[[#Headers],[Tarih]])-1)+$E972,$E972),$E972))</f>
        <v/>
      </c>
      <c r="G972" s="19" t="str">
        <f aca="false">IF($A972="","",IFERROR(IF(INDEX(tblOrtak[Tarih],ROW($A972)-ROW(tblOrtak[[#Headers],[Tarih]])+1)=0,RaporTarihi,INDEX(tblOrtak[Tarih],ROW($A972)-ROW(tblOrtak[[#Headers],[Tarih]])+1))-$A972,RaporTarihi-$A972))</f>
        <v/>
      </c>
      <c r="H972" s="18" t="n">
        <f aca="false">IF($F972="",0,ROUND($F972*$G972,0))</f>
        <v>0</v>
      </c>
      <c r="I972" s="18" t="n">
        <f aca="false">IF($H972="",0,ROUND($H972*AdatFaizOran/AdatYilGunSayisi,2))</f>
        <v>0</v>
      </c>
      <c r="J972" s="22"/>
    </row>
    <row r="973" customFormat="false" ht="15" hidden="false" customHeight="false" outlineLevel="0" collapsed="false">
      <c r="A973" s="21"/>
      <c r="B973" s="22"/>
      <c r="C973" s="22"/>
      <c r="D973" s="23"/>
      <c r="E973" s="20" t="str">
        <f aca="false">IF($A973="","",IF($C973="Borç",-$D973,$D973))</f>
        <v/>
      </c>
      <c r="F973" s="18" t="str">
        <f aca="false">IF($A973="","",IFERROR(IF(INDEX(tblOrtak[Ortak Adı],ROW($A973)-ROW(tblOrtak[[#Headers],[Tarih]])-1)=$B973,INDEX(tblOrtak[Bakiye (₺)],ROW($A973)-ROW(tblOrtak[[#Headers],[Tarih]])-1)+$E973,$E973),$E973))</f>
        <v/>
      </c>
      <c r="G973" s="19" t="str">
        <f aca="false">IF($A973="","",IFERROR(IF(INDEX(tblOrtak[Tarih],ROW($A973)-ROW(tblOrtak[[#Headers],[Tarih]])+1)=0,RaporTarihi,INDEX(tblOrtak[Tarih],ROW($A973)-ROW(tblOrtak[[#Headers],[Tarih]])+1))-$A973,RaporTarihi-$A973))</f>
        <v/>
      </c>
      <c r="H973" s="18" t="n">
        <f aca="false">IF($F973="",0,ROUND($F973*$G973,0))</f>
        <v>0</v>
      </c>
      <c r="I973" s="18" t="n">
        <f aca="false">IF($H973="",0,ROUND($H973*AdatFaizOran/AdatYilGunSayisi,2))</f>
        <v>0</v>
      </c>
      <c r="J973" s="22"/>
    </row>
    <row r="974" customFormat="false" ht="15" hidden="false" customHeight="false" outlineLevel="0" collapsed="false">
      <c r="A974" s="21"/>
      <c r="B974" s="22"/>
      <c r="C974" s="22"/>
      <c r="D974" s="23"/>
      <c r="E974" s="20" t="str">
        <f aca="false">IF($A974="","",IF($C974="Borç",-$D974,$D974))</f>
        <v/>
      </c>
      <c r="F974" s="18" t="str">
        <f aca="false">IF($A974="","",IFERROR(IF(INDEX(tblOrtak[Ortak Adı],ROW($A974)-ROW(tblOrtak[[#Headers],[Tarih]])-1)=$B974,INDEX(tblOrtak[Bakiye (₺)],ROW($A974)-ROW(tblOrtak[[#Headers],[Tarih]])-1)+$E974,$E974),$E974))</f>
        <v/>
      </c>
      <c r="G974" s="19" t="str">
        <f aca="false">IF($A974="","",IFERROR(IF(INDEX(tblOrtak[Tarih],ROW($A974)-ROW(tblOrtak[[#Headers],[Tarih]])+1)=0,RaporTarihi,INDEX(tblOrtak[Tarih],ROW($A974)-ROW(tblOrtak[[#Headers],[Tarih]])+1))-$A974,RaporTarihi-$A974))</f>
        <v/>
      </c>
      <c r="H974" s="18" t="n">
        <f aca="false">IF($F974="",0,ROUND($F974*$G974,0))</f>
        <v>0</v>
      </c>
      <c r="I974" s="18" t="n">
        <f aca="false">IF($H974="",0,ROUND($H974*AdatFaizOran/AdatYilGunSayisi,2))</f>
        <v>0</v>
      </c>
      <c r="J974" s="22"/>
    </row>
    <row r="975" customFormat="false" ht="15" hidden="false" customHeight="false" outlineLevel="0" collapsed="false">
      <c r="A975" s="21"/>
      <c r="B975" s="22"/>
      <c r="C975" s="22"/>
      <c r="D975" s="23"/>
      <c r="E975" s="20" t="str">
        <f aca="false">IF($A975="","",IF($C975="Borç",-$D975,$D975))</f>
        <v/>
      </c>
      <c r="F975" s="18" t="str">
        <f aca="false">IF($A975="","",IFERROR(IF(INDEX(tblOrtak[Ortak Adı],ROW($A975)-ROW(tblOrtak[[#Headers],[Tarih]])-1)=$B975,INDEX(tblOrtak[Bakiye (₺)],ROW($A975)-ROW(tblOrtak[[#Headers],[Tarih]])-1)+$E975,$E975),$E975))</f>
        <v/>
      </c>
      <c r="G975" s="19" t="str">
        <f aca="false">IF($A975="","",IFERROR(IF(INDEX(tblOrtak[Tarih],ROW($A975)-ROW(tblOrtak[[#Headers],[Tarih]])+1)=0,RaporTarihi,INDEX(tblOrtak[Tarih],ROW($A975)-ROW(tblOrtak[[#Headers],[Tarih]])+1))-$A975,RaporTarihi-$A975))</f>
        <v/>
      </c>
      <c r="H975" s="18" t="n">
        <f aca="false">IF($F975="",0,ROUND($F975*$G975,0))</f>
        <v>0</v>
      </c>
      <c r="I975" s="18" t="n">
        <f aca="false">IF($H975="",0,ROUND($H975*AdatFaizOran/AdatYilGunSayisi,2))</f>
        <v>0</v>
      </c>
      <c r="J975" s="22"/>
    </row>
    <row r="976" customFormat="false" ht="15" hidden="false" customHeight="false" outlineLevel="0" collapsed="false">
      <c r="A976" s="21"/>
      <c r="B976" s="22"/>
      <c r="C976" s="22"/>
      <c r="D976" s="23"/>
      <c r="E976" s="20" t="str">
        <f aca="false">IF($A976="","",IF($C976="Borç",-$D976,$D976))</f>
        <v/>
      </c>
      <c r="F976" s="18" t="str">
        <f aca="false">IF($A976="","",IFERROR(IF(INDEX(tblOrtak[Ortak Adı],ROW($A976)-ROW(tblOrtak[[#Headers],[Tarih]])-1)=$B976,INDEX(tblOrtak[Bakiye (₺)],ROW($A976)-ROW(tblOrtak[[#Headers],[Tarih]])-1)+$E976,$E976),$E976))</f>
        <v/>
      </c>
      <c r="G976" s="19" t="str">
        <f aca="false">IF($A976="","",IFERROR(IF(INDEX(tblOrtak[Tarih],ROW($A976)-ROW(tblOrtak[[#Headers],[Tarih]])+1)=0,RaporTarihi,INDEX(tblOrtak[Tarih],ROW($A976)-ROW(tblOrtak[[#Headers],[Tarih]])+1))-$A976,RaporTarihi-$A976))</f>
        <v/>
      </c>
      <c r="H976" s="18" t="n">
        <f aca="false">IF($F976="",0,ROUND($F976*$G976,0))</f>
        <v>0</v>
      </c>
      <c r="I976" s="18" t="n">
        <f aca="false">IF($H976="",0,ROUND($H976*AdatFaizOran/AdatYilGunSayisi,2))</f>
        <v>0</v>
      </c>
      <c r="J976" s="22"/>
    </row>
    <row r="977" customFormat="false" ht="15" hidden="false" customHeight="false" outlineLevel="0" collapsed="false">
      <c r="A977" s="21"/>
      <c r="B977" s="22"/>
      <c r="C977" s="22"/>
      <c r="D977" s="23"/>
      <c r="E977" s="20" t="str">
        <f aca="false">IF($A977="","",IF($C977="Borç",-$D977,$D977))</f>
        <v/>
      </c>
      <c r="F977" s="18" t="str">
        <f aca="false">IF($A977="","",IFERROR(IF(INDEX(tblOrtak[Ortak Adı],ROW($A977)-ROW(tblOrtak[[#Headers],[Tarih]])-1)=$B977,INDEX(tblOrtak[Bakiye (₺)],ROW($A977)-ROW(tblOrtak[[#Headers],[Tarih]])-1)+$E977,$E977),$E977))</f>
        <v/>
      </c>
      <c r="G977" s="19" t="str">
        <f aca="false">IF($A977="","",IFERROR(IF(INDEX(tblOrtak[Tarih],ROW($A977)-ROW(tblOrtak[[#Headers],[Tarih]])+1)=0,RaporTarihi,INDEX(tblOrtak[Tarih],ROW($A977)-ROW(tblOrtak[[#Headers],[Tarih]])+1))-$A977,RaporTarihi-$A977))</f>
        <v/>
      </c>
      <c r="H977" s="18" t="n">
        <f aca="false">IF($F977="",0,ROUND($F977*$G977,0))</f>
        <v>0</v>
      </c>
      <c r="I977" s="18" t="n">
        <f aca="false">IF($H977="",0,ROUND($H977*AdatFaizOran/AdatYilGunSayisi,2))</f>
        <v>0</v>
      </c>
      <c r="J977" s="22"/>
    </row>
    <row r="978" customFormat="false" ht="15" hidden="false" customHeight="false" outlineLevel="0" collapsed="false">
      <c r="A978" s="21"/>
      <c r="B978" s="22"/>
      <c r="C978" s="22"/>
      <c r="D978" s="23"/>
      <c r="E978" s="20" t="str">
        <f aca="false">IF($A978="","",IF($C978="Borç",-$D978,$D978))</f>
        <v/>
      </c>
      <c r="F978" s="18" t="str">
        <f aca="false">IF($A978="","",IFERROR(IF(INDEX(tblOrtak[Ortak Adı],ROW($A978)-ROW(tblOrtak[[#Headers],[Tarih]])-1)=$B978,INDEX(tblOrtak[Bakiye (₺)],ROW($A978)-ROW(tblOrtak[[#Headers],[Tarih]])-1)+$E978,$E978),$E978))</f>
        <v/>
      </c>
      <c r="G978" s="19" t="str">
        <f aca="false">IF($A978="","",IFERROR(IF(INDEX(tblOrtak[Tarih],ROW($A978)-ROW(tblOrtak[[#Headers],[Tarih]])+1)=0,RaporTarihi,INDEX(tblOrtak[Tarih],ROW($A978)-ROW(tblOrtak[[#Headers],[Tarih]])+1))-$A978,RaporTarihi-$A978))</f>
        <v/>
      </c>
      <c r="H978" s="18" t="n">
        <f aca="false">IF($F978="",0,ROUND($F978*$G978,0))</f>
        <v>0</v>
      </c>
      <c r="I978" s="18" t="n">
        <f aca="false">IF($H978="",0,ROUND($H978*AdatFaizOran/AdatYilGunSayisi,2))</f>
        <v>0</v>
      </c>
      <c r="J978" s="22"/>
    </row>
    <row r="979" customFormat="false" ht="15" hidden="false" customHeight="false" outlineLevel="0" collapsed="false">
      <c r="A979" s="21"/>
      <c r="B979" s="22"/>
      <c r="C979" s="22"/>
      <c r="D979" s="23"/>
      <c r="E979" s="20" t="str">
        <f aca="false">IF($A979="","",IF($C979="Borç",-$D979,$D979))</f>
        <v/>
      </c>
      <c r="F979" s="18" t="str">
        <f aca="false">IF($A979="","",IFERROR(IF(INDEX(tblOrtak[Ortak Adı],ROW($A979)-ROW(tblOrtak[[#Headers],[Tarih]])-1)=$B979,INDEX(tblOrtak[Bakiye (₺)],ROW($A979)-ROW(tblOrtak[[#Headers],[Tarih]])-1)+$E979,$E979),$E979))</f>
        <v/>
      </c>
      <c r="G979" s="19" t="str">
        <f aca="false">IF($A979="","",IFERROR(IF(INDEX(tblOrtak[Tarih],ROW($A979)-ROW(tblOrtak[[#Headers],[Tarih]])+1)=0,RaporTarihi,INDEX(tblOrtak[Tarih],ROW($A979)-ROW(tblOrtak[[#Headers],[Tarih]])+1))-$A979,RaporTarihi-$A979))</f>
        <v/>
      </c>
      <c r="H979" s="18" t="n">
        <f aca="false">IF($F979="",0,ROUND($F979*$G979,0))</f>
        <v>0</v>
      </c>
      <c r="I979" s="18" t="n">
        <f aca="false">IF($H979="",0,ROUND($H979*AdatFaizOran/AdatYilGunSayisi,2))</f>
        <v>0</v>
      </c>
      <c r="J979" s="22"/>
    </row>
    <row r="980" customFormat="false" ht="15" hidden="false" customHeight="false" outlineLevel="0" collapsed="false">
      <c r="A980" s="21"/>
      <c r="B980" s="22"/>
      <c r="C980" s="22"/>
      <c r="D980" s="23"/>
      <c r="E980" s="20" t="str">
        <f aca="false">IF($A980="","",IF($C980="Borç",-$D980,$D980))</f>
        <v/>
      </c>
      <c r="F980" s="18" t="str">
        <f aca="false">IF($A980="","",IFERROR(IF(INDEX(tblOrtak[Ortak Adı],ROW($A980)-ROW(tblOrtak[[#Headers],[Tarih]])-1)=$B980,INDEX(tblOrtak[Bakiye (₺)],ROW($A980)-ROW(tblOrtak[[#Headers],[Tarih]])-1)+$E980,$E980),$E980))</f>
        <v/>
      </c>
      <c r="G980" s="19" t="str">
        <f aca="false">IF($A980="","",IFERROR(IF(INDEX(tblOrtak[Tarih],ROW($A980)-ROW(tblOrtak[[#Headers],[Tarih]])+1)=0,RaporTarihi,INDEX(tblOrtak[Tarih],ROW($A980)-ROW(tblOrtak[[#Headers],[Tarih]])+1))-$A980,RaporTarihi-$A980))</f>
        <v/>
      </c>
      <c r="H980" s="18" t="n">
        <f aca="false">IF($F980="",0,ROUND($F980*$G980,0))</f>
        <v>0</v>
      </c>
      <c r="I980" s="18" t="n">
        <f aca="false">IF($H980="",0,ROUND($H980*AdatFaizOran/AdatYilGunSayisi,2))</f>
        <v>0</v>
      </c>
      <c r="J980" s="22"/>
    </row>
    <row r="981" customFormat="false" ht="15" hidden="false" customHeight="false" outlineLevel="0" collapsed="false">
      <c r="A981" s="21"/>
      <c r="B981" s="22"/>
      <c r="C981" s="22"/>
      <c r="D981" s="23"/>
      <c r="E981" s="20" t="str">
        <f aca="false">IF($A981="","",IF($C981="Borç",-$D981,$D981))</f>
        <v/>
      </c>
      <c r="F981" s="18" t="str">
        <f aca="false">IF($A981="","",IFERROR(IF(INDEX(tblOrtak[Ortak Adı],ROW($A981)-ROW(tblOrtak[[#Headers],[Tarih]])-1)=$B981,INDEX(tblOrtak[Bakiye (₺)],ROW($A981)-ROW(tblOrtak[[#Headers],[Tarih]])-1)+$E981,$E981),$E981))</f>
        <v/>
      </c>
      <c r="G981" s="19" t="str">
        <f aca="false">IF($A981="","",IFERROR(IF(INDEX(tblOrtak[Tarih],ROW($A981)-ROW(tblOrtak[[#Headers],[Tarih]])+1)=0,RaporTarihi,INDEX(tblOrtak[Tarih],ROW($A981)-ROW(tblOrtak[[#Headers],[Tarih]])+1))-$A981,RaporTarihi-$A981))</f>
        <v/>
      </c>
      <c r="H981" s="18" t="n">
        <f aca="false">IF($F981="",0,ROUND($F981*$G981,0))</f>
        <v>0</v>
      </c>
      <c r="I981" s="18" t="n">
        <f aca="false">IF($H981="",0,ROUND($H981*AdatFaizOran/AdatYilGunSayisi,2))</f>
        <v>0</v>
      </c>
      <c r="J981" s="22"/>
    </row>
    <row r="982" customFormat="false" ht="15" hidden="false" customHeight="false" outlineLevel="0" collapsed="false">
      <c r="A982" s="21"/>
      <c r="B982" s="22"/>
      <c r="C982" s="22"/>
      <c r="D982" s="23"/>
      <c r="E982" s="20" t="str">
        <f aca="false">IF($A982="","",IF($C982="Borç",-$D982,$D982))</f>
        <v/>
      </c>
      <c r="F982" s="18" t="str">
        <f aca="false">IF($A982="","",IFERROR(IF(INDEX(tblOrtak[Ortak Adı],ROW($A982)-ROW(tblOrtak[[#Headers],[Tarih]])-1)=$B982,INDEX(tblOrtak[Bakiye (₺)],ROW($A982)-ROW(tblOrtak[[#Headers],[Tarih]])-1)+$E982,$E982),$E982))</f>
        <v/>
      </c>
      <c r="G982" s="19" t="str">
        <f aca="false">IF($A982="","",IFERROR(IF(INDEX(tblOrtak[Tarih],ROW($A982)-ROW(tblOrtak[[#Headers],[Tarih]])+1)=0,RaporTarihi,INDEX(tblOrtak[Tarih],ROW($A982)-ROW(tblOrtak[[#Headers],[Tarih]])+1))-$A982,RaporTarihi-$A982))</f>
        <v/>
      </c>
      <c r="H982" s="18" t="n">
        <f aca="false">IF($F982="",0,ROUND($F982*$G982,0))</f>
        <v>0</v>
      </c>
      <c r="I982" s="18" t="n">
        <f aca="false">IF($H982="",0,ROUND($H982*AdatFaizOran/AdatYilGunSayisi,2))</f>
        <v>0</v>
      </c>
      <c r="J982" s="22"/>
    </row>
    <row r="983" customFormat="false" ht="15" hidden="false" customHeight="false" outlineLevel="0" collapsed="false">
      <c r="A983" s="21"/>
      <c r="B983" s="22"/>
      <c r="C983" s="22"/>
      <c r="D983" s="23"/>
      <c r="E983" s="20" t="str">
        <f aca="false">IF($A983="","",IF($C983="Borç",-$D983,$D983))</f>
        <v/>
      </c>
      <c r="F983" s="18" t="str">
        <f aca="false">IF($A983="","",IFERROR(IF(INDEX(tblOrtak[Ortak Adı],ROW($A983)-ROW(tblOrtak[[#Headers],[Tarih]])-1)=$B983,INDEX(tblOrtak[Bakiye (₺)],ROW($A983)-ROW(tblOrtak[[#Headers],[Tarih]])-1)+$E983,$E983),$E983))</f>
        <v/>
      </c>
      <c r="G983" s="19" t="str">
        <f aca="false">IF($A983="","",IFERROR(IF(INDEX(tblOrtak[Tarih],ROW($A983)-ROW(tblOrtak[[#Headers],[Tarih]])+1)=0,RaporTarihi,INDEX(tblOrtak[Tarih],ROW($A983)-ROW(tblOrtak[[#Headers],[Tarih]])+1))-$A983,RaporTarihi-$A983))</f>
        <v/>
      </c>
      <c r="H983" s="18" t="n">
        <f aca="false">IF($F983="",0,ROUND($F983*$G983,0))</f>
        <v>0</v>
      </c>
      <c r="I983" s="18" t="n">
        <f aca="false">IF($H983="",0,ROUND($H983*AdatFaizOran/AdatYilGunSayisi,2))</f>
        <v>0</v>
      </c>
      <c r="J983" s="22"/>
    </row>
    <row r="984" customFormat="false" ht="15" hidden="false" customHeight="false" outlineLevel="0" collapsed="false">
      <c r="A984" s="21"/>
      <c r="B984" s="22"/>
      <c r="C984" s="22"/>
      <c r="D984" s="23"/>
      <c r="E984" s="20" t="str">
        <f aca="false">IF($A984="","",IF($C984="Borç",-$D984,$D984))</f>
        <v/>
      </c>
      <c r="F984" s="18" t="str">
        <f aca="false">IF($A984="","",IFERROR(IF(INDEX(tblOrtak[Ortak Adı],ROW($A984)-ROW(tblOrtak[[#Headers],[Tarih]])-1)=$B984,INDEX(tblOrtak[Bakiye (₺)],ROW($A984)-ROW(tblOrtak[[#Headers],[Tarih]])-1)+$E984,$E984),$E984))</f>
        <v/>
      </c>
      <c r="G984" s="19" t="str">
        <f aca="false">IF($A984="","",IFERROR(IF(INDEX(tblOrtak[Tarih],ROW($A984)-ROW(tblOrtak[[#Headers],[Tarih]])+1)=0,RaporTarihi,INDEX(tblOrtak[Tarih],ROW($A984)-ROW(tblOrtak[[#Headers],[Tarih]])+1))-$A984,RaporTarihi-$A984))</f>
        <v/>
      </c>
      <c r="H984" s="18" t="n">
        <f aca="false">IF($F984="",0,ROUND($F984*$G984,0))</f>
        <v>0</v>
      </c>
      <c r="I984" s="18" t="n">
        <f aca="false">IF($H984="",0,ROUND($H984*AdatFaizOran/AdatYilGunSayisi,2))</f>
        <v>0</v>
      </c>
      <c r="J984" s="22"/>
    </row>
    <row r="985" customFormat="false" ht="15" hidden="false" customHeight="false" outlineLevel="0" collapsed="false">
      <c r="A985" s="21"/>
      <c r="B985" s="22"/>
      <c r="C985" s="22"/>
      <c r="D985" s="23"/>
      <c r="E985" s="20" t="str">
        <f aca="false">IF($A985="","",IF($C985="Borç",-$D985,$D985))</f>
        <v/>
      </c>
      <c r="F985" s="18" t="str">
        <f aca="false">IF($A985="","",IFERROR(IF(INDEX(tblOrtak[Ortak Adı],ROW($A985)-ROW(tblOrtak[[#Headers],[Tarih]])-1)=$B985,INDEX(tblOrtak[Bakiye (₺)],ROW($A985)-ROW(tblOrtak[[#Headers],[Tarih]])-1)+$E985,$E985),$E985))</f>
        <v/>
      </c>
      <c r="G985" s="19" t="str">
        <f aca="false">IF($A985="","",IFERROR(IF(INDEX(tblOrtak[Tarih],ROW($A985)-ROW(tblOrtak[[#Headers],[Tarih]])+1)=0,RaporTarihi,INDEX(tblOrtak[Tarih],ROW($A985)-ROW(tblOrtak[[#Headers],[Tarih]])+1))-$A985,RaporTarihi-$A985))</f>
        <v/>
      </c>
      <c r="H985" s="18" t="n">
        <f aca="false">IF($F985="",0,ROUND($F985*$G985,0))</f>
        <v>0</v>
      </c>
      <c r="I985" s="18" t="n">
        <f aca="false">IF($H985="",0,ROUND($H985*AdatFaizOran/AdatYilGunSayisi,2))</f>
        <v>0</v>
      </c>
      <c r="J985" s="22"/>
    </row>
    <row r="986" customFormat="false" ht="15" hidden="false" customHeight="false" outlineLevel="0" collapsed="false">
      <c r="A986" s="21"/>
      <c r="B986" s="22"/>
      <c r="C986" s="22"/>
      <c r="D986" s="23"/>
      <c r="E986" s="20" t="str">
        <f aca="false">IF($A986="","",IF($C986="Borç",-$D986,$D986))</f>
        <v/>
      </c>
      <c r="F986" s="18" t="str">
        <f aca="false">IF($A986="","",IFERROR(IF(INDEX(tblOrtak[Ortak Adı],ROW($A986)-ROW(tblOrtak[[#Headers],[Tarih]])-1)=$B986,INDEX(tblOrtak[Bakiye (₺)],ROW($A986)-ROW(tblOrtak[[#Headers],[Tarih]])-1)+$E986,$E986),$E986))</f>
        <v/>
      </c>
      <c r="G986" s="19" t="str">
        <f aca="false">IF($A986="","",IFERROR(IF(INDEX(tblOrtak[Tarih],ROW($A986)-ROW(tblOrtak[[#Headers],[Tarih]])+1)=0,RaporTarihi,INDEX(tblOrtak[Tarih],ROW($A986)-ROW(tblOrtak[[#Headers],[Tarih]])+1))-$A986,RaporTarihi-$A986))</f>
        <v/>
      </c>
      <c r="H986" s="18" t="n">
        <f aca="false">IF($F986="",0,ROUND($F986*$G986,0))</f>
        <v>0</v>
      </c>
      <c r="I986" s="18" t="n">
        <f aca="false">IF($H986="",0,ROUND($H986*AdatFaizOran/AdatYilGunSayisi,2))</f>
        <v>0</v>
      </c>
      <c r="J986" s="22"/>
    </row>
    <row r="987" customFormat="false" ht="15" hidden="false" customHeight="false" outlineLevel="0" collapsed="false">
      <c r="A987" s="21"/>
      <c r="B987" s="22"/>
      <c r="C987" s="22"/>
      <c r="D987" s="23"/>
      <c r="E987" s="20" t="str">
        <f aca="false">IF($A987="","",IF($C987="Borç",-$D987,$D987))</f>
        <v/>
      </c>
      <c r="F987" s="18" t="str">
        <f aca="false">IF($A987="","",IFERROR(IF(INDEX(tblOrtak[Ortak Adı],ROW($A987)-ROW(tblOrtak[[#Headers],[Tarih]])-1)=$B987,INDEX(tblOrtak[Bakiye (₺)],ROW($A987)-ROW(tblOrtak[[#Headers],[Tarih]])-1)+$E987,$E987),$E987))</f>
        <v/>
      </c>
      <c r="G987" s="19" t="str">
        <f aca="false">IF($A987="","",IFERROR(IF(INDEX(tblOrtak[Tarih],ROW($A987)-ROW(tblOrtak[[#Headers],[Tarih]])+1)=0,RaporTarihi,INDEX(tblOrtak[Tarih],ROW($A987)-ROW(tblOrtak[[#Headers],[Tarih]])+1))-$A987,RaporTarihi-$A987))</f>
        <v/>
      </c>
      <c r="H987" s="18" t="n">
        <f aca="false">IF($F987="",0,ROUND($F987*$G987,0))</f>
        <v>0</v>
      </c>
      <c r="I987" s="18" t="n">
        <f aca="false">IF($H987="",0,ROUND($H987*AdatFaizOran/AdatYilGunSayisi,2))</f>
        <v>0</v>
      </c>
      <c r="J987" s="22"/>
    </row>
    <row r="988" customFormat="false" ht="15" hidden="false" customHeight="false" outlineLevel="0" collapsed="false">
      <c r="A988" s="21"/>
      <c r="B988" s="22"/>
      <c r="C988" s="22"/>
      <c r="D988" s="23"/>
      <c r="E988" s="20" t="str">
        <f aca="false">IF($A988="","",IF($C988="Borç",-$D988,$D988))</f>
        <v/>
      </c>
      <c r="F988" s="18" t="str">
        <f aca="false">IF($A988="","",IFERROR(IF(INDEX(tblOrtak[Ortak Adı],ROW($A988)-ROW(tblOrtak[[#Headers],[Tarih]])-1)=$B988,INDEX(tblOrtak[Bakiye (₺)],ROW($A988)-ROW(tblOrtak[[#Headers],[Tarih]])-1)+$E988,$E988),$E988))</f>
        <v/>
      </c>
      <c r="G988" s="19" t="str">
        <f aca="false">IF($A988="","",IFERROR(IF(INDEX(tblOrtak[Tarih],ROW($A988)-ROW(tblOrtak[[#Headers],[Tarih]])+1)=0,RaporTarihi,INDEX(tblOrtak[Tarih],ROW($A988)-ROW(tblOrtak[[#Headers],[Tarih]])+1))-$A988,RaporTarihi-$A988))</f>
        <v/>
      </c>
      <c r="H988" s="18" t="n">
        <f aca="false">IF($F988="",0,ROUND($F988*$G988,0))</f>
        <v>0</v>
      </c>
      <c r="I988" s="18" t="n">
        <f aca="false">IF($H988="",0,ROUND($H988*AdatFaizOran/AdatYilGunSayisi,2))</f>
        <v>0</v>
      </c>
      <c r="J988" s="22"/>
    </row>
    <row r="989" customFormat="false" ht="15" hidden="false" customHeight="false" outlineLevel="0" collapsed="false">
      <c r="A989" s="21"/>
      <c r="B989" s="22"/>
      <c r="C989" s="22"/>
      <c r="D989" s="23"/>
      <c r="E989" s="20" t="str">
        <f aca="false">IF($A989="","",IF($C989="Borç",-$D989,$D989))</f>
        <v/>
      </c>
      <c r="F989" s="18" t="str">
        <f aca="false">IF($A989="","",IFERROR(IF(INDEX(tblOrtak[Ortak Adı],ROW($A989)-ROW(tblOrtak[[#Headers],[Tarih]])-1)=$B989,INDEX(tblOrtak[Bakiye (₺)],ROW($A989)-ROW(tblOrtak[[#Headers],[Tarih]])-1)+$E989,$E989),$E989))</f>
        <v/>
      </c>
      <c r="G989" s="19" t="str">
        <f aca="false">IF($A989="","",IFERROR(IF(INDEX(tblOrtak[Tarih],ROW($A989)-ROW(tblOrtak[[#Headers],[Tarih]])+1)=0,RaporTarihi,INDEX(tblOrtak[Tarih],ROW($A989)-ROW(tblOrtak[[#Headers],[Tarih]])+1))-$A989,RaporTarihi-$A989))</f>
        <v/>
      </c>
      <c r="H989" s="18" t="n">
        <f aca="false">IF($F989="",0,ROUND($F989*$G989,0))</f>
        <v>0</v>
      </c>
      <c r="I989" s="18" t="n">
        <f aca="false">IF($H989="",0,ROUND($H989*AdatFaizOran/AdatYilGunSayisi,2))</f>
        <v>0</v>
      </c>
      <c r="J989" s="22"/>
    </row>
    <row r="990" customFormat="false" ht="15" hidden="false" customHeight="false" outlineLevel="0" collapsed="false">
      <c r="A990" s="21"/>
      <c r="B990" s="22"/>
      <c r="C990" s="22"/>
      <c r="D990" s="23"/>
      <c r="E990" s="20" t="str">
        <f aca="false">IF($A990="","",IF($C990="Borç",-$D990,$D990))</f>
        <v/>
      </c>
      <c r="F990" s="18" t="str">
        <f aca="false">IF($A990="","",IFERROR(IF(INDEX(tblOrtak[Ortak Adı],ROW($A990)-ROW(tblOrtak[[#Headers],[Tarih]])-1)=$B990,INDEX(tblOrtak[Bakiye (₺)],ROW($A990)-ROW(tblOrtak[[#Headers],[Tarih]])-1)+$E990,$E990),$E990))</f>
        <v/>
      </c>
      <c r="G990" s="19" t="str">
        <f aca="false">IF($A990="","",IFERROR(IF(INDEX(tblOrtak[Tarih],ROW($A990)-ROW(tblOrtak[[#Headers],[Tarih]])+1)=0,RaporTarihi,INDEX(tblOrtak[Tarih],ROW($A990)-ROW(tblOrtak[[#Headers],[Tarih]])+1))-$A990,RaporTarihi-$A990))</f>
        <v/>
      </c>
      <c r="H990" s="18" t="n">
        <f aca="false">IF($F990="",0,ROUND($F990*$G990,0))</f>
        <v>0</v>
      </c>
      <c r="I990" s="18" t="n">
        <f aca="false">IF($H990="",0,ROUND($H990*AdatFaizOran/AdatYilGunSayisi,2))</f>
        <v>0</v>
      </c>
      <c r="J990" s="22"/>
    </row>
    <row r="991" customFormat="false" ht="15" hidden="false" customHeight="false" outlineLevel="0" collapsed="false">
      <c r="A991" s="21"/>
      <c r="B991" s="22"/>
      <c r="C991" s="22"/>
      <c r="D991" s="23"/>
      <c r="E991" s="20" t="str">
        <f aca="false">IF($A991="","",IF($C991="Borç",-$D991,$D991))</f>
        <v/>
      </c>
      <c r="F991" s="18" t="str">
        <f aca="false">IF($A991="","",IFERROR(IF(INDEX(tblOrtak[Ortak Adı],ROW($A991)-ROW(tblOrtak[[#Headers],[Tarih]])-1)=$B991,INDEX(tblOrtak[Bakiye (₺)],ROW($A991)-ROW(tblOrtak[[#Headers],[Tarih]])-1)+$E991,$E991),$E991))</f>
        <v/>
      </c>
      <c r="G991" s="19" t="str">
        <f aca="false">IF($A991="","",IFERROR(IF(INDEX(tblOrtak[Tarih],ROW($A991)-ROW(tblOrtak[[#Headers],[Tarih]])+1)=0,RaporTarihi,INDEX(tblOrtak[Tarih],ROW($A991)-ROW(tblOrtak[[#Headers],[Tarih]])+1))-$A991,RaporTarihi-$A991))</f>
        <v/>
      </c>
      <c r="H991" s="18" t="n">
        <f aca="false">IF($F991="",0,ROUND($F991*$G991,0))</f>
        <v>0</v>
      </c>
      <c r="I991" s="18" t="n">
        <f aca="false">IF($H991="",0,ROUND($H991*AdatFaizOran/AdatYilGunSayisi,2))</f>
        <v>0</v>
      </c>
      <c r="J991" s="22"/>
    </row>
    <row r="992" customFormat="false" ht="15" hidden="false" customHeight="false" outlineLevel="0" collapsed="false">
      <c r="A992" s="21"/>
      <c r="B992" s="22"/>
      <c r="C992" s="22"/>
      <c r="D992" s="23"/>
      <c r="E992" s="20" t="str">
        <f aca="false">IF($A992="","",IF($C992="Borç",-$D992,$D992))</f>
        <v/>
      </c>
      <c r="F992" s="18" t="str">
        <f aca="false">IF($A992="","",IFERROR(IF(INDEX(tblOrtak[Ortak Adı],ROW($A992)-ROW(tblOrtak[[#Headers],[Tarih]])-1)=$B992,INDEX(tblOrtak[Bakiye (₺)],ROW($A992)-ROW(tblOrtak[[#Headers],[Tarih]])-1)+$E992,$E992),$E992))</f>
        <v/>
      </c>
      <c r="G992" s="19" t="str">
        <f aca="false">IF($A992="","",IFERROR(IF(INDEX(tblOrtak[Tarih],ROW($A992)-ROW(tblOrtak[[#Headers],[Tarih]])+1)=0,RaporTarihi,INDEX(tblOrtak[Tarih],ROW($A992)-ROW(tblOrtak[[#Headers],[Tarih]])+1))-$A992,RaporTarihi-$A992))</f>
        <v/>
      </c>
      <c r="H992" s="18" t="n">
        <f aca="false">IF($F992="",0,ROUND($F992*$G992,0))</f>
        <v>0</v>
      </c>
      <c r="I992" s="18" t="n">
        <f aca="false">IF($H992="",0,ROUND($H992*AdatFaizOran/AdatYilGunSayisi,2))</f>
        <v>0</v>
      </c>
      <c r="J992" s="22"/>
    </row>
    <row r="993" customFormat="false" ht="15" hidden="false" customHeight="false" outlineLevel="0" collapsed="false">
      <c r="A993" s="21"/>
      <c r="B993" s="22"/>
      <c r="C993" s="22"/>
      <c r="D993" s="23"/>
      <c r="E993" s="20" t="str">
        <f aca="false">IF($A993="","",IF($C993="Borç",-$D993,$D993))</f>
        <v/>
      </c>
      <c r="F993" s="18" t="str">
        <f aca="false">IF($A993="","",IFERROR(IF(INDEX(tblOrtak[Ortak Adı],ROW($A993)-ROW(tblOrtak[[#Headers],[Tarih]])-1)=$B993,INDEX(tblOrtak[Bakiye (₺)],ROW($A993)-ROW(tblOrtak[[#Headers],[Tarih]])-1)+$E993,$E993),$E993))</f>
        <v/>
      </c>
      <c r="G993" s="19" t="str">
        <f aca="false">IF($A993="","",IFERROR(IF(INDEX(tblOrtak[Tarih],ROW($A993)-ROW(tblOrtak[[#Headers],[Tarih]])+1)=0,RaporTarihi,INDEX(tblOrtak[Tarih],ROW($A993)-ROW(tblOrtak[[#Headers],[Tarih]])+1))-$A993,RaporTarihi-$A993))</f>
        <v/>
      </c>
      <c r="H993" s="18" t="n">
        <f aca="false">IF($F993="",0,ROUND($F993*$G993,0))</f>
        <v>0</v>
      </c>
      <c r="I993" s="18" t="n">
        <f aca="false">IF($H993="",0,ROUND($H993*AdatFaizOran/AdatYilGunSayisi,2))</f>
        <v>0</v>
      </c>
      <c r="J993" s="22"/>
    </row>
    <row r="994" customFormat="false" ht="15" hidden="false" customHeight="false" outlineLevel="0" collapsed="false">
      <c r="A994" s="21"/>
      <c r="B994" s="22"/>
      <c r="C994" s="22"/>
      <c r="D994" s="23"/>
      <c r="E994" s="20" t="str">
        <f aca="false">IF($A994="","",IF($C994="Borç",-$D994,$D994))</f>
        <v/>
      </c>
      <c r="F994" s="18" t="str">
        <f aca="false">IF($A994="","",IFERROR(IF(INDEX(tblOrtak[Ortak Adı],ROW($A994)-ROW(tblOrtak[[#Headers],[Tarih]])-1)=$B994,INDEX(tblOrtak[Bakiye (₺)],ROW($A994)-ROW(tblOrtak[[#Headers],[Tarih]])-1)+$E994,$E994),$E994))</f>
        <v/>
      </c>
      <c r="G994" s="19" t="str">
        <f aca="false">IF($A994="","",IFERROR(IF(INDEX(tblOrtak[Tarih],ROW($A994)-ROW(tblOrtak[[#Headers],[Tarih]])+1)=0,RaporTarihi,INDEX(tblOrtak[Tarih],ROW($A994)-ROW(tblOrtak[[#Headers],[Tarih]])+1))-$A994,RaporTarihi-$A994))</f>
        <v/>
      </c>
      <c r="H994" s="18" t="n">
        <f aca="false">IF($F994="",0,ROUND($F994*$G994,0))</f>
        <v>0</v>
      </c>
      <c r="I994" s="18" t="n">
        <f aca="false">IF($H994="",0,ROUND($H994*AdatFaizOran/AdatYilGunSayisi,2))</f>
        <v>0</v>
      </c>
      <c r="J994" s="22"/>
    </row>
    <row r="995" customFormat="false" ht="15" hidden="false" customHeight="false" outlineLevel="0" collapsed="false">
      <c r="A995" s="21"/>
      <c r="B995" s="22"/>
      <c r="C995" s="22"/>
      <c r="D995" s="23"/>
      <c r="E995" s="20" t="str">
        <f aca="false">IF($A995="","",IF($C995="Borç",-$D995,$D995))</f>
        <v/>
      </c>
      <c r="F995" s="18" t="str">
        <f aca="false">IF($A995="","",IFERROR(IF(INDEX(tblOrtak[Ortak Adı],ROW($A995)-ROW(tblOrtak[[#Headers],[Tarih]])-1)=$B995,INDEX(tblOrtak[Bakiye (₺)],ROW($A995)-ROW(tblOrtak[[#Headers],[Tarih]])-1)+$E995,$E995),$E995))</f>
        <v/>
      </c>
      <c r="G995" s="19" t="str">
        <f aca="false">IF($A995="","",IFERROR(IF(INDEX(tblOrtak[Tarih],ROW($A995)-ROW(tblOrtak[[#Headers],[Tarih]])+1)=0,RaporTarihi,INDEX(tblOrtak[Tarih],ROW($A995)-ROW(tblOrtak[[#Headers],[Tarih]])+1))-$A995,RaporTarihi-$A995))</f>
        <v/>
      </c>
      <c r="H995" s="18" t="n">
        <f aca="false">IF($F995="",0,ROUND($F995*$G995,0))</f>
        <v>0</v>
      </c>
      <c r="I995" s="18" t="n">
        <f aca="false">IF($H995="",0,ROUND($H995*AdatFaizOran/AdatYilGunSayisi,2))</f>
        <v>0</v>
      </c>
      <c r="J995" s="22"/>
    </row>
    <row r="996" customFormat="false" ht="15" hidden="false" customHeight="false" outlineLevel="0" collapsed="false">
      <c r="A996" s="21"/>
      <c r="B996" s="22"/>
      <c r="C996" s="22"/>
      <c r="D996" s="23"/>
      <c r="E996" s="20" t="str">
        <f aca="false">IF($A996="","",IF($C996="Borç",-$D996,$D996))</f>
        <v/>
      </c>
      <c r="F996" s="18" t="str">
        <f aca="false">IF($A996="","",IFERROR(IF(INDEX(tblOrtak[Ortak Adı],ROW($A996)-ROW(tblOrtak[[#Headers],[Tarih]])-1)=$B996,INDEX(tblOrtak[Bakiye (₺)],ROW($A996)-ROW(tblOrtak[[#Headers],[Tarih]])-1)+$E996,$E996),$E996))</f>
        <v/>
      </c>
      <c r="G996" s="19" t="str">
        <f aca="false">IF($A996="","",IFERROR(IF(INDEX(tblOrtak[Tarih],ROW($A996)-ROW(tblOrtak[[#Headers],[Tarih]])+1)=0,RaporTarihi,INDEX(tblOrtak[Tarih],ROW($A996)-ROW(tblOrtak[[#Headers],[Tarih]])+1))-$A996,RaporTarihi-$A996))</f>
        <v/>
      </c>
      <c r="H996" s="18" t="n">
        <f aca="false">IF($F996="",0,ROUND($F996*$G996,0))</f>
        <v>0</v>
      </c>
      <c r="I996" s="18" t="n">
        <f aca="false">IF($H996="",0,ROUND($H996*AdatFaizOran/AdatYilGunSayisi,2))</f>
        <v>0</v>
      </c>
      <c r="J996" s="22"/>
    </row>
    <row r="997" customFormat="false" ht="15" hidden="false" customHeight="false" outlineLevel="0" collapsed="false">
      <c r="A997" s="21"/>
      <c r="B997" s="22"/>
      <c r="C997" s="22"/>
      <c r="D997" s="23"/>
      <c r="E997" s="20" t="str">
        <f aca="false">IF($A997="","",IF($C997="Borç",-$D997,$D997))</f>
        <v/>
      </c>
      <c r="F997" s="18" t="str">
        <f aca="false">IF($A997="","",IFERROR(IF(INDEX(tblOrtak[Ortak Adı],ROW($A997)-ROW(tblOrtak[[#Headers],[Tarih]])-1)=$B997,INDEX(tblOrtak[Bakiye (₺)],ROW($A997)-ROW(tblOrtak[[#Headers],[Tarih]])-1)+$E997,$E997),$E997))</f>
        <v/>
      </c>
      <c r="G997" s="19" t="str">
        <f aca="false">IF($A997="","",IFERROR(IF(INDEX(tblOrtak[Tarih],ROW($A997)-ROW(tblOrtak[[#Headers],[Tarih]])+1)=0,RaporTarihi,INDEX(tblOrtak[Tarih],ROW($A997)-ROW(tblOrtak[[#Headers],[Tarih]])+1))-$A997,RaporTarihi-$A997))</f>
        <v/>
      </c>
      <c r="H997" s="18" t="n">
        <f aca="false">IF($F997="",0,ROUND($F997*$G997,0))</f>
        <v>0</v>
      </c>
      <c r="I997" s="18" t="n">
        <f aca="false">IF($H997="",0,ROUND($H997*AdatFaizOran/AdatYilGunSayisi,2))</f>
        <v>0</v>
      </c>
      <c r="J997" s="22"/>
    </row>
    <row r="998" customFormat="false" ht="15" hidden="false" customHeight="false" outlineLevel="0" collapsed="false">
      <c r="A998" s="21"/>
      <c r="B998" s="22"/>
      <c r="C998" s="22"/>
      <c r="D998" s="23"/>
      <c r="E998" s="20" t="str">
        <f aca="false">IF($A998="","",IF($C998="Borç",-$D998,$D998))</f>
        <v/>
      </c>
      <c r="F998" s="18" t="str">
        <f aca="false">IF($A998="","",IFERROR(IF(INDEX(tblOrtak[Ortak Adı],ROW($A998)-ROW(tblOrtak[[#Headers],[Tarih]])-1)=$B998,INDEX(tblOrtak[Bakiye (₺)],ROW($A998)-ROW(tblOrtak[[#Headers],[Tarih]])-1)+$E998,$E998),$E998))</f>
        <v/>
      </c>
      <c r="G998" s="19" t="str">
        <f aca="false">IF($A998="","",IFERROR(IF(INDEX(tblOrtak[Tarih],ROW($A998)-ROW(tblOrtak[[#Headers],[Tarih]])+1)=0,RaporTarihi,INDEX(tblOrtak[Tarih],ROW($A998)-ROW(tblOrtak[[#Headers],[Tarih]])+1))-$A998,RaporTarihi-$A998))</f>
        <v/>
      </c>
      <c r="H998" s="18" t="n">
        <f aca="false">IF($F998="",0,ROUND($F998*$G998,0))</f>
        <v>0</v>
      </c>
      <c r="I998" s="18" t="n">
        <f aca="false">IF($H998="",0,ROUND($H998*AdatFaizOran/AdatYilGunSayisi,2))</f>
        <v>0</v>
      </c>
      <c r="J998" s="22"/>
    </row>
    <row r="999" customFormat="false" ht="15" hidden="false" customHeight="false" outlineLevel="0" collapsed="false">
      <c r="A999" s="21"/>
      <c r="B999" s="22"/>
      <c r="C999" s="22"/>
      <c r="D999" s="23"/>
      <c r="E999" s="20" t="str">
        <f aca="false">IF($A999="","",IF($C999="Borç",-$D999,$D999))</f>
        <v/>
      </c>
      <c r="F999" s="18" t="str">
        <f aca="false">IF($A999="","",IFERROR(IF(INDEX(tblOrtak[Ortak Adı],ROW($A999)-ROW(tblOrtak[[#Headers],[Tarih]])-1)=$B999,INDEX(tblOrtak[Bakiye (₺)],ROW($A999)-ROW(tblOrtak[[#Headers],[Tarih]])-1)+$E999,$E999),$E999))</f>
        <v/>
      </c>
      <c r="G999" s="19" t="str">
        <f aca="false">IF($A999="","",IFERROR(IF(INDEX(tblOrtak[Tarih],ROW($A999)-ROW(tblOrtak[[#Headers],[Tarih]])+1)=0,RaporTarihi,INDEX(tblOrtak[Tarih],ROW($A999)-ROW(tblOrtak[[#Headers],[Tarih]])+1))-$A999,RaporTarihi-$A999))</f>
        <v/>
      </c>
      <c r="H999" s="18" t="n">
        <f aca="false">IF($F999="",0,ROUND($F999*$G999,0))</f>
        <v>0</v>
      </c>
      <c r="I999" s="18" t="n">
        <f aca="false">IF($H999="",0,ROUND($H999*AdatFaizOran/AdatYilGunSayisi,2))</f>
        <v>0</v>
      </c>
      <c r="J999" s="22"/>
    </row>
    <row r="1000" customFormat="false" ht="15" hidden="false" customHeight="false" outlineLevel="0" collapsed="false">
      <c r="A1000" s="21"/>
      <c r="B1000" s="22"/>
      <c r="C1000" s="22"/>
      <c r="D1000" s="23"/>
      <c r="E1000" s="20" t="str">
        <f aca="false">IF($A1000="","",IF($C1000="Borç",-$D1000,$D1000))</f>
        <v/>
      </c>
      <c r="F1000" s="18" t="str">
        <f aca="false">IF($A1000="","",IFERROR(IF(INDEX(tblOrtak[Ortak Adı],ROW($A1000)-ROW(tblOrtak[[#Headers],[Tarih]])-1)=$B1000,INDEX(tblOrtak[Bakiye (₺)],ROW($A1000)-ROW(tblOrtak[[#Headers],[Tarih]])-1)+$E1000,$E1000),$E1000))</f>
        <v/>
      </c>
      <c r="G1000" s="19" t="str">
        <f aca="false">IF($A1000="","",IFERROR(IF(INDEX(tblOrtak[Tarih],ROW($A1000)-ROW(tblOrtak[[#Headers],[Tarih]])+1)=0,RaporTarihi,INDEX(tblOrtak[Tarih],ROW($A1000)-ROW(tblOrtak[[#Headers],[Tarih]])+1))-$A1000,RaporTarihi-$A1000))</f>
        <v/>
      </c>
      <c r="H1000" s="18" t="n">
        <f aca="false">IF($F1000="",0,ROUND($F1000*$G1000,0))</f>
        <v>0</v>
      </c>
      <c r="I1000" s="18" t="n">
        <f aca="false">IF($H1000="",0,ROUND($H1000*AdatFaizOran/AdatYilGunSayisi,2))</f>
        <v>0</v>
      </c>
      <c r="J1000" s="22"/>
    </row>
    <row r="1001" customFormat="false" ht="15" hidden="false" customHeight="false" outlineLevel="0" collapsed="false">
      <c r="A1001" s="21"/>
      <c r="B1001" s="22"/>
      <c r="C1001" s="22"/>
      <c r="D1001" s="23"/>
      <c r="E1001" s="20" t="str">
        <f aca="false">IF($A1001="","",IF($C1001="Borç",-$D1001,$D1001))</f>
        <v/>
      </c>
      <c r="F1001" s="18" t="str">
        <f aca="false">IF($A1001="","",IFERROR(IF(INDEX(tblOrtak[Ortak Adı],ROW($A1001)-ROW(tblOrtak[[#Headers],[Tarih]])-1)=$B1001,INDEX(tblOrtak[Bakiye (₺)],ROW($A1001)-ROW(tblOrtak[[#Headers],[Tarih]])-1)+$E1001,$E1001),$E1001))</f>
        <v/>
      </c>
      <c r="G1001" s="19" t="str">
        <f aca="false">IF($A1001="","",IFERROR(IF(INDEX(tblOrtak[Tarih],ROW($A1001)-ROW(tblOrtak[[#Headers],[Tarih]])+1)=0,RaporTarihi,INDEX(tblOrtak[Tarih],ROW($A1001)-ROW(tblOrtak[[#Headers],[Tarih]])+1))-$A1001,RaporTarihi-$A1001))</f>
        <v/>
      </c>
      <c r="H1001" s="18" t="n">
        <f aca="false">IF($F1001="",0,ROUND($F1001*$G1001,0))</f>
        <v>0</v>
      </c>
      <c r="I1001" s="18" t="n">
        <f aca="false">IF($H1001="",0,ROUND($H1001*AdatFaizOran/AdatYilGunSayisi,2))</f>
        <v>0</v>
      </c>
      <c r="J1001" s="22"/>
    </row>
    <row r="1002" customFormat="false" ht="15" hidden="false" customHeight="false" outlineLevel="0" collapsed="false">
      <c r="A1002" s="21"/>
      <c r="B1002" s="22"/>
      <c r="C1002" s="22"/>
      <c r="D1002" s="23"/>
      <c r="E1002" s="20" t="str">
        <f aca="false">IF($A1002="","",IF($C1002="Borç",-$D1002,$D1002))</f>
        <v/>
      </c>
      <c r="F1002" s="18" t="str">
        <f aca="false">IF($A1002="","",IFERROR(IF(INDEX(tblOrtak[Ortak Adı],ROW($A1002)-ROW(tblOrtak[[#Headers],[Tarih]])-1)=$B1002,INDEX(tblOrtak[Bakiye (₺)],ROW($A1002)-ROW(tblOrtak[[#Headers],[Tarih]])-1)+$E1002,$E1002),$E1002))</f>
        <v/>
      </c>
      <c r="G1002" s="19" t="str">
        <f aca="false">IF($A1002="","",IFERROR(IF(INDEX(tblOrtak[Tarih],ROW($A1002)-ROW(tblOrtak[[#Headers],[Tarih]])+1)=0,RaporTarihi,INDEX(tblOrtak[Tarih],ROW($A1002)-ROW(tblOrtak[[#Headers],[Tarih]])+1))-$A1002,RaporTarihi-$A1002))</f>
        <v/>
      </c>
      <c r="H1002" s="18" t="n">
        <f aca="false">IF($F1002="",0,ROUND($F1002*$G1002,0))</f>
        <v>0</v>
      </c>
      <c r="I1002" s="18" t="n">
        <f aca="false">IF($H1002="",0,ROUND($H1002*AdatFaizOran/AdatYilGunSayisi,2))</f>
        <v>0</v>
      </c>
      <c r="J1002" s="22"/>
    </row>
    <row r="1003" customFormat="false" ht="15" hidden="false" customHeight="false" outlineLevel="0" collapsed="false">
      <c r="A1003" s="21"/>
      <c r="B1003" s="22"/>
      <c r="C1003" s="22"/>
      <c r="D1003" s="23"/>
      <c r="E1003" s="20" t="str">
        <f aca="false">IF($A1003="","",IF($C1003="Borç",-$D1003,$D1003))</f>
        <v/>
      </c>
      <c r="F1003" s="18" t="str">
        <f aca="false">IF($A1003="","",IFERROR(IF(INDEX(tblOrtak[Ortak Adı],ROW($A1003)-ROW(tblOrtak[[#Headers],[Tarih]])-1)=$B1003,INDEX(tblOrtak[Bakiye (₺)],ROW($A1003)-ROW(tblOrtak[[#Headers],[Tarih]])-1)+$E1003,$E1003),$E1003))</f>
        <v/>
      </c>
      <c r="G1003" s="19" t="str">
        <f aca="false">IF($A1003="","",IFERROR(IF(INDEX(tblOrtak[Tarih],ROW($A1003)-ROW(tblOrtak[[#Headers],[Tarih]])+1)=0,RaporTarihi,INDEX(tblOrtak[Tarih],ROW($A1003)-ROW(tblOrtak[[#Headers],[Tarih]])+1))-$A1003,RaporTarihi-$A1003))</f>
        <v/>
      </c>
      <c r="H1003" s="18" t="n">
        <f aca="false">IF($F1003="",0,ROUND($F1003*$G1003,0))</f>
        <v>0</v>
      </c>
      <c r="I1003" s="18" t="n">
        <f aca="false">IF($H1003="",0,ROUND($H1003*AdatFaizOran/AdatYilGunSayisi,2))</f>
        <v>0</v>
      </c>
      <c r="J1003" s="22"/>
    </row>
    <row r="1004" customFormat="false" ht="15" hidden="false" customHeight="false" outlineLevel="0" collapsed="false">
      <c r="A1004" s="22"/>
      <c r="B1004" s="22"/>
      <c r="C1004" s="22"/>
      <c r="D1004" s="22"/>
      <c r="E1004" s="20" t="str">
        <f aca="false">IF($A1004="","",IF($C1004="Borç",-$D1004,$D1004))</f>
        <v/>
      </c>
      <c r="F1004" s="20" t="str">
        <f aca="false">IF($A1004="","",IFERROR(IF(INDEX(tblOrtak[Ortak Adı],ROW($A1004)-ROW(tblOrtak[[#Headers],[Tarih]])-1)=$B1004,INDEX(tblOrtak[Bakiye (₺)],ROW($A1004)-ROW(tblOrtak[[#Headers],[Tarih]])-1)+$E1004,$E1004),$E1004))</f>
        <v/>
      </c>
      <c r="G1004" s="20" t="str">
        <f aca="false">IF($A1004="","",IFERROR(IF(INDEX(tblOrtak[Tarih],ROW($A1004)-ROW(tblOrtak[[#Headers],[Tarih]])+1)=0,RaporTarihi,INDEX(tblOrtak[Tarih],ROW($A1004)-ROW(tblOrtak[[#Headers],[Tarih]])+1))-$A1004,RaporTarihi-$A1004))</f>
        <v/>
      </c>
      <c r="H1004" s="20" t="n">
        <f aca="false">IF($F1004="",0,ROUND($F1004*$G1004,0))</f>
        <v>0</v>
      </c>
      <c r="I1004" s="20" t="n">
        <f aca="false">IF($H1004="",0,ROUND($H1004*AdatFaizOran/AdatYilGunSayisi,2))</f>
        <v>0</v>
      </c>
      <c r="J1004" s="22"/>
    </row>
    <row r="1006" customFormat="false" ht="19.5" hidden="false" customHeight="true" outlineLevel="0" collapsed="false">
      <c r="A1006" s="24" t="s">
        <v>52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A6:A1004">
    <cfRule type="cellIs" priority="2" operator="lessThan" aboveAverage="0" equalAverage="0" bottom="0" percent="0" rank="0" text="" dxfId="11">
      <formula>0</formula>
    </cfRule>
  </conditionalFormatting>
  <conditionalFormatting sqref="D6:D1004">
    <cfRule type="cellIs" priority="3" operator="lessThan" aboveAverage="0" equalAverage="0" bottom="0" percent="0" rank="0" text="" dxfId="11">
      <formula>0</formula>
    </cfRule>
  </conditionalFormatting>
  <conditionalFormatting sqref="E6:E1004">
    <cfRule type="cellIs" priority="4" operator="lessThan" aboveAverage="0" equalAverage="0" bottom="0" percent="0" rank="0" text="" dxfId="12">
      <formula>0</formula>
    </cfRule>
    <cfRule type="cellIs" priority="5" operator="greaterThan" aboveAverage="0" equalAverage="0" bottom="0" percent="0" rank="0" text="" dxfId="13">
      <formula>0</formula>
    </cfRule>
  </conditionalFormatting>
  <conditionalFormatting sqref="G6:G1004">
    <cfRule type="cellIs" priority="6" operator="lessThan" aboveAverage="0" equalAverage="0" bottom="0" percent="0" rank="0" text="" dxfId="11">
      <formula>0</formula>
    </cfRule>
  </conditionalFormatting>
  <conditionalFormatting sqref="C6:C1004">
    <cfRule type="cellIs" priority="7" operator="equal" aboveAverage="0" equalAverage="0" bottom="0" percent="0" rank="0" text="" dxfId="14">
      <formula>"Borç"</formula>
    </cfRule>
  </conditionalFormatting>
  <dataValidations count="4">
    <dataValidation allowBlank="true" error="Tarih 01.01.2024 - 31.12.2027 aralığında olmalı." errorStyle="stop" errorTitle="Geçersiz tarih" operator="between" prompt="GG.AA.YYYY biçiminde işlem tarihi girin." promptTitle="Tarih" showDropDown="false" showErrorMessage="true" showInputMessage="true" sqref="A6:A1004" type="date">
      <formula1>01.01.2024</formula1>
      <formula2>31.12.2027</formula2>
    </dataValidation>
    <dataValidation allowBlank="true" error="Listede olmayan ortak giremezsiniz." errorStyle="stop" errorTitle="Geçersiz ortak" operator="between" prompt="LISTELER'de tanımlı ortak adını seçin." promptTitle="Ortak Adı" showDropDown="false" showErrorMessage="true" showInputMessage="true" sqref="B6:B1004" type="list">
      <formula1>ListeOrtakAdlari</formula1>
      <formula2>0</formula2>
    </dataValidation>
    <dataValidation allowBlank="true" error="Listede olmayan tür giremezsiniz." errorStyle="stop" errorTitle="Geçersiz tür" operator="between" prompt="Alacak (ortak şirkete koyar) veya Borç (şirket ortağa verir) seçin." promptTitle="İşlem Türü" showDropDown="false" showErrorMessage="true" showInputMessage="true" sqref="C6:C1004" type="list">
      <formula1>ListeIslemTurleri</formula1>
      <formula2>0</formula2>
    </dataValidation>
    <dataValidation allowBlank="true" error="0 ile 100.000.000.000 arasında olmalı." errorStyle="stop" errorTitle="Geçersiz tutar" operator="between" prompt="İşlem tutarını TL olarak girin (pozitif)." promptTitle="Tutar" showDropDown="false" showErrorMessage="true" showInputMessage="true" sqref="D6:D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54</v>
      </c>
    </row>
    <row r="4" customFormat="false" ht="95.5" hidden="false" customHeight="false" outlineLevel="0" collapsed="false">
      <c r="A4" s="13" t="s">
        <v>55</v>
      </c>
    </row>
    <row r="5" customFormat="false" ht="30" hidden="false" customHeight="true" outlineLevel="0" collapsed="false">
      <c r="A5" s="14" t="s">
        <v>34</v>
      </c>
      <c r="B5" s="14" t="s">
        <v>43</v>
      </c>
      <c r="C5" s="14" t="s">
        <v>56</v>
      </c>
      <c r="D5" s="14" t="s">
        <v>40</v>
      </c>
      <c r="E5" s="14" t="s">
        <v>41</v>
      </c>
      <c r="F5" s="14" t="s">
        <v>57</v>
      </c>
    </row>
    <row r="6" customFormat="false" ht="16.4" hidden="false" customHeight="false" outlineLevel="0" collapsed="false">
      <c r="A6" s="15" t="n">
        <v>46053</v>
      </c>
      <c r="B6" s="16" t="s">
        <v>58</v>
      </c>
      <c r="C6" s="17" t="n">
        <v>85000</v>
      </c>
      <c r="D6" s="19" t="n">
        <f aca="false">IF($A6="","",IFERROR(IF(INDEX(tblKasa[Tarih],ROW($A6)-ROW(tblKasa[[#Headers],[Tarih]])+1)=0,RaporTarihi,INDEX(tblKasa[Tarih],ROW($A6)-ROW(tblKasa[[#Headers],[Tarih]])+1))-$A6,RaporTarihi-$A6))</f>
        <v>28</v>
      </c>
      <c r="E6" s="18" t="n">
        <f aca="false">IF($C6="",0,ROUND($C6*$D6,0))</f>
        <v>2380000</v>
      </c>
      <c r="F6" s="16" t="s">
        <v>59</v>
      </c>
    </row>
    <row r="7" customFormat="false" ht="16.4" hidden="false" customHeight="false" outlineLevel="0" collapsed="false">
      <c r="A7" s="15" t="n">
        <v>46081</v>
      </c>
      <c r="B7" s="16" t="s">
        <v>60</v>
      </c>
      <c r="C7" s="17" t="n">
        <v>120000</v>
      </c>
      <c r="D7" s="19" t="n">
        <f aca="false">IF($A7="","",IFERROR(IF(INDEX(tblKasa[Tarih],ROW($A7)-ROW(tblKasa[[#Headers],[Tarih]])+1)=0,RaporTarihi,INDEX(tblKasa[Tarih],ROW($A7)-ROW(tblKasa[[#Headers],[Tarih]])+1))-$A7,RaporTarihi-$A7))</f>
        <v>31</v>
      </c>
      <c r="E7" s="18" t="n">
        <f aca="false">IF($C7="",0,ROUND($C7*$D7,0))</f>
        <v>3720000</v>
      </c>
      <c r="F7" s="16" t="s">
        <v>59</v>
      </c>
    </row>
    <row r="8" customFormat="false" ht="16.4" hidden="false" customHeight="false" outlineLevel="0" collapsed="false">
      <c r="A8" s="15" t="n">
        <v>46112</v>
      </c>
      <c r="B8" s="16" t="s">
        <v>61</v>
      </c>
      <c r="C8" s="17" t="n">
        <v>95000</v>
      </c>
      <c r="D8" s="19" t="n">
        <f aca="false">IF($A8="","",IFERROR(IF(INDEX(tblKasa[Tarih],ROW($A8)-ROW(tblKasa[[#Headers],[Tarih]])+1)=0,RaporTarihi,INDEX(tblKasa[Tarih],ROW($A8)-ROW(tblKasa[[#Headers],[Tarih]])+1))-$A8,RaporTarihi-$A8))</f>
        <v>30</v>
      </c>
      <c r="E8" s="18" t="n">
        <f aca="false">IF($C8="",0,ROUND($C8*$D8,0))</f>
        <v>2850000</v>
      </c>
      <c r="F8" s="16" t="s">
        <v>59</v>
      </c>
    </row>
    <row r="9" customFormat="false" ht="16.4" hidden="false" customHeight="false" outlineLevel="0" collapsed="false">
      <c r="A9" s="15" t="n">
        <v>46142</v>
      </c>
      <c r="B9" s="16" t="s">
        <v>62</v>
      </c>
      <c r="C9" s="17" t="n">
        <v>140000</v>
      </c>
      <c r="D9" s="19" t="n">
        <f aca="false">IF($A9="","",IFERROR(IF(INDEX(tblKasa[Tarih],ROW($A9)-ROW(tblKasa[[#Headers],[Tarih]])+1)=0,RaporTarihi,INDEX(tblKasa[Tarih],ROW($A9)-ROW(tblKasa[[#Headers],[Tarih]])+1))-$A9,RaporTarihi-$A9))</f>
        <v>31</v>
      </c>
      <c r="E9" s="18" t="n">
        <f aca="false">IF($C9="",0,ROUND($C9*$D9,0))</f>
        <v>4340000</v>
      </c>
      <c r="F9" s="16" t="s">
        <v>59</v>
      </c>
    </row>
    <row r="10" customFormat="false" ht="16.4" hidden="false" customHeight="false" outlineLevel="0" collapsed="false">
      <c r="A10" s="15" t="n">
        <v>46173</v>
      </c>
      <c r="B10" s="16" t="s">
        <v>63</v>
      </c>
      <c r="C10" s="17" t="n">
        <v>110000</v>
      </c>
      <c r="D10" s="19" t="n">
        <f aca="false">IF($A10="","",IFERROR(IF(INDEX(tblKasa[Tarih],ROW($A10)-ROW(tblKasa[[#Headers],[Tarih]])+1)=0,RaporTarihi,INDEX(tblKasa[Tarih],ROW($A10)-ROW(tblKasa[[#Headers],[Tarih]])+1))-$A10,RaporTarihi-$A10))</f>
        <v>30</v>
      </c>
      <c r="E10" s="18" t="n">
        <f aca="false">IF($C10="",0,ROUND($C10*$D10,0))</f>
        <v>3300000</v>
      </c>
      <c r="F10" s="16" t="s">
        <v>59</v>
      </c>
    </row>
    <row r="11" customFormat="false" ht="16.4" hidden="false" customHeight="false" outlineLevel="0" collapsed="false">
      <c r="A11" s="15" t="n">
        <v>46203</v>
      </c>
      <c r="B11" s="16" t="s">
        <v>64</v>
      </c>
      <c r="C11" s="17" t="n">
        <v>160000</v>
      </c>
      <c r="D11" s="19" t="n">
        <f aca="false">IF($A11="","",IFERROR(IF(INDEX(tblKasa[Tarih],ROW($A11)-ROW(tblKasa[[#Headers],[Tarih]])+1)=0,RaporTarihi,INDEX(tblKasa[Tarih],ROW($A11)-ROW(tblKasa[[#Headers],[Tarih]])+1))-$A11,RaporTarihi-$A11))</f>
        <v>39</v>
      </c>
      <c r="E11" s="18" t="n">
        <f aca="false">IF($C11="",0,ROUND($C11*$D11,0))</f>
        <v>6240000</v>
      </c>
      <c r="F11" s="16" t="s">
        <v>59</v>
      </c>
    </row>
    <row r="12" customFormat="false" ht="15" hidden="false" customHeight="false" outlineLevel="0" collapsed="false">
      <c r="A12" s="21"/>
      <c r="B12" s="22"/>
      <c r="C12" s="23"/>
      <c r="D12" s="19" t="str">
        <f aca="false">IF($A12="","",IFERROR(IF(INDEX(tblKasa[Tarih],ROW($A12)-ROW(tblKasa[[#Headers],[Tarih]])+1)=0,RaporTarihi,INDEX(tblKasa[Tarih],ROW($A12)-ROW(tblKasa[[#Headers],[Tarih]])+1))-$A12,RaporTarihi-$A12))</f>
        <v/>
      </c>
      <c r="E12" s="18" t="n">
        <f aca="false">IF($C12="",0,ROUND($C12*$D12,0))</f>
        <v>0</v>
      </c>
      <c r="F12" s="22"/>
    </row>
    <row r="13" customFormat="false" ht="15" hidden="false" customHeight="false" outlineLevel="0" collapsed="false">
      <c r="A13" s="21"/>
      <c r="B13" s="22"/>
      <c r="C13" s="23"/>
      <c r="D13" s="19" t="str">
        <f aca="false">IF($A13="","",IFERROR(IF(INDEX(tblKasa[Tarih],ROW($A13)-ROW(tblKasa[[#Headers],[Tarih]])+1)=0,RaporTarihi,INDEX(tblKasa[Tarih],ROW($A13)-ROW(tblKasa[[#Headers],[Tarih]])+1))-$A13,RaporTarihi-$A13))</f>
        <v/>
      </c>
      <c r="E13" s="18" t="n">
        <f aca="false">IF($C13="",0,ROUND($C13*$D13,0))</f>
        <v>0</v>
      </c>
      <c r="F13" s="22"/>
    </row>
    <row r="14" customFormat="false" ht="15" hidden="false" customHeight="false" outlineLevel="0" collapsed="false">
      <c r="A14" s="21"/>
      <c r="B14" s="22"/>
      <c r="C14" s="23"/>
      <c r="D14" s="19" t="str">
        <f aca="false">IF($A14="","",IFERROR(IF(INDEX(tblKasa[Tarih],ROW($A14)-ROW(tblKasa[[#Headers],[Tarih]])+1)=0,RaporTarihi,INDEX(tblKasa[Tarih],ROW($A14)-ROW(tblKasa[[#Headers],[Tarih]])+1))-$A14,RaporTarihi-$A14))</f>
        <v/>
      </c>
      <c r="E14" s="18" t="n">
        <f aca="false">IF($C14="",0,ROUND($C14*$D14,0))</f>
        <v>0</v>
      </c>
      <c r="F14" s="22"/>
    </row>
    <row r="15" customFormat="false" ht="15" hidden="false" customHeight="false" outlineLevel="0" collapsed="false">
      <c r="A15" s="21"/>
      <c r="B15" s="22"/>
      <c r="C15" s="23"/>
      <c r="D15" s="19" t="str">
        <f aca="false">IF($A15="","",IFERROR(IF(INDEX(tblKasa[Tarih],ROW($A15)-ROW(tblKasa[[#Headers],[Tarih]])+1)=0,RaporTarihi,INDEX(tblKasa[Tarih],ROW($A15)-ROW(tblKasa[[#Headers],[Tarih]])+1))-$A15,RaporTarihi-$A15))</f>
        <v/>
      </c>
      <c r="E15" s="18" t="n">
        <f aca="false">IF($C15="",0,ROUND($C15*$D15,0))</f>
        <v>0</v>
      </c>
      <c r="F15" s="22"/>
    </row>
    <row r="16" customFormat="false" ht="15" hidden="false" customHeight="false" outlineLevel="0" collapsed="false">
      <c r="A16" s="21"/>
      <c r="B16" s="22"/>
      <c r="C16" s="23"/>
      <c r="D16" s="19" t="str">
        <f aca="false">IF($A16="","",IFERROR(IF(INDEX(tblKasa[Tarih],ROW($A16)-ROW(tblKasa[[#Headers],[Tarih]])+1)=0,RaporTarihi,INDEX(tblKasa[Tarih],ROW($A16)-ROW(tblKasa[[#Headers],[Tarih]])+1))-$A16,RaporTarihi-$A16))</f>
        <v/>
      </c>
      <c r="E16" s="18" t="n">
        <f aca="false">IF($C16="",0,ROUND($C16*$D16,0))</f>
        <v>0</v>
      </c>
      <c r="F16" s="22"/>
    </row>
    <row r="17" customFormat="false" ht="15" hidden="false" customHeight="false" outlineLevel="0" collapsed="false">
      <c r="A17" s="21"/>
      <c r="B17" s="22"/>
      <c r="C17" s="23"/>
      <c r="D17" s="19" t="str">
        <f aca="false">IF($A17="","",IFERROR(IF(INDEX(tblKasa[Tarih],ROW($A17)-ROW(tblKasa[[#Headers],[Tarih]])+1)=0,RaporTarihi,INDEX(tblKasa[Tarih],ROW($A17)-ROW(tblKasa[[#Headers],[Tarih]])+1))-$A17,RaporTarihi-$A17))</f>
        <v/>
      </c>
      <c r="E17" s="18" t="n">
        <f aca="false">IF($C17="",0,ROUND($C17*$D17,0))</f>
        <v>0</v>
      </c>
      <c r="F17" s="22"/>
    </row>
    <row r="18" customFormat="false" ht="15" hidden="false" customHeight="false" outlineLevel="0" collapsed="false">
      <c r="A18" s="21"/>
      <c r="B18" s="22"/>
      <c r="C18" s="23"/>
      <c r="D18" s="19" t="str">
        <f aca="false">IF($A18="","",IFERROR(IF(INDEX(tblKasa[Tarih],ROW($A18)-ROW(tblKasa[[#Headers],[Tarih]])+1)=0,RaporTarihi,INDEX(tblKasa[Tarih],ROW($A18)-ROW(tblKasa[[#Headers],[Tarih]])+1))-$A18,RaporTarihi-$A18))</f>
        <v/>
      </c>
      <c r="E18" s="18" t="n">
        <f aca="false">IF($C18="",0,ROUND($C18*$D18,0))</f>
        <v>0</v>
      </c>
      <c r="F18" s="22"/>
    </row>
    <row r="19" customFormat="false" ht="15" hidden="false" customHeight="false" outlineLevel="0" collapsed="false">
      <c r="A19" s="21"/>
      <c r="B19" s="22"/>
      <c r="C19" s="23"/>
      <c r="D19" s="19" t="str">
        <f aca="false">IF($A19="","",IFERROR(IF(INDEX(tblKasa[Tarih],ROW($A19)-ROW(tblKasa[[#Headers],[Tarih]])+1)=0,RaporTarihi,INDEX(tblKasa[Tarih],ROW($A19)-ROW(tblKasa[[#Headers],[Tarih]])+1))-$A19,RaporTarihi-$A19))</f>
        <v/>
      </c>
      <c r="E19" s="18" t="n">
        <f aca="false">IF($C19="",0,ROUND($C19*$D19,0))</f>
        <v>0</v>
      </c>
      <c r="F19" s="22"/>
    </row>
    <row r="20" customFormat="false" ht="15" hidden="false" customHeight="false" outlineLevel="0" collapsed="false">
      <c r="A20" s="21"/>
      <c r="B20" s="22"/>
      <c r="C20" s="23"/>
      <c r="D20" s="19" t="str">
        <f aca="false">IF($A20="","",IFERROR(IF(INDEX(tblKasa[Tarih],ROW($A20)-ROW(tblKasa[[#Headers],[Tarih]])+1)=0,RaporTarihi,INDEX(tblKasa[Tarih],ROW($A20)-ROW(tblKasa[[#Headers],[Tarih]])+1))-$A20,RaporTarihi-$A20))</f>
        <v/>
      </c>
      <c r="E20" s="18" t="n">
        <f aca="false">IF($C20="",0,ROUND($C20*$D20,0))</f>
        <v>0</v>
      </c>
      <c r="F20" s="22"/>
    </row>
    <row r="21" customFormat="false" ht="15" hidden="false" customHeight="false" outlineLevel="0" collapsed="false">
      <c r="A21" s="21"/>
      <c r="B21" s="22"/>
      <c r="C21" s="23"/>
      <c r="D21" s="19" t="str">
        <f aca="false">IF($A21="","",IFERROR(IF(INDEX(tblKasa[Tarih],ROW($A21)-ROW(tblKasa[[#Headers],[Tarih]])+1)=0,RaporTarihi,INDEX(tblKasa[Tarih],ROW($A21)-ROW(tblKasa[[#Headers],[Tarih]])+1))-$A21,RaporTarihi-$A21))</f>
        <v/>
      </c>
      <c r="E21" s="18" t="n">
        <f aca="false">IF($C21="",0,ROUND($C21*$D21,0))</f>
        <v>0</v>
      </c>
      <c r="F21" s="22"/>
    </row>
    <row r="22" customFormat="false" ht="15" hidden="false" customHeight="false" outlineLevel="0" collapsed="false">
      <c r="A22" s="21"/>
      <c r="B22" s="22"/>
      <c r="C22" s="23"/>
      <c r="D22" s="19" t="str">
        <f aca="false">IF($A22="","",IFERROR(IF(INDEX(tblKasa[Tarih],ROW($A22)-ROW(tblKasa[[#Headers],[Tarih]])+1)=0,RaporTarihi,INDEX(tblKasa[Tarih],ROW($A22)-ROW(tblKasa[[#Headers],[Tarih]])+1))-$A22,RaporTarihi-$A22))</f>
        <v/>
      </c>
      <c r="E22" s="18" t="n">
        <f aca="false">IF($C22="",0,ROUND($C22*$D22,0))</f>
        <v>0</v>
      </c>
      <c r="F22" s="22"/>
    </row>
    <row r="23" customFormat="false" ht="15" hidden="false" customHeight="false" outlineLevel="0" collapsed="false">
      <c r="A23" s="21"/>
      <c r="B23" s="22"/>
      <c r="C23" s="23"/>
      <c r="D23" s="19" t="str">
        <f aca="false">IF($A23="","",IFERROR(IF(INDEX(tblKasa[Tarih],ROW($A23)-ROW(tblKasa[[#Headers],[Tarih]])+1)=0,RaporTarihi,INDEX(tblKasa[Tarih],ROW($A23)-ROW(tblKasa[[#Headers],[Tarih]])+1))-$A23,RaporTarihi-$A23))</f>
        <v/>
      </c>
      <c r="E23" s="18" t="n">
        <f aca="false">IF($C23="",0,ROUND($C23*$D23,0))</f>
        <v>0</v>
      </c>
      <c r="F23" s="22"/>
    </row>
    <row r="24" customFormat="false" ht="15" hidden="false" customHeight="false" outlineLevel="0" collapsed="false">
      <c r="A24" s="21"/>
      <c r="B24" s="22"/>
      <c r="C24" s="23"/>
      <c r="D24" s="19" t="str">
        <f aca="false">IF($A24="","",IFERROR(IF(INDEX(tblKasa[Tarih],ROW($A24)-ROW(tblKasa[[#Headers],[Tarih]])+1)=0,RaporTarihi,INDEX(tblKasa[Tarih],ROW($A24)-ROW(tblKasa[[#Headers],[Tarih]])+1))-$A24,RaporTarihi-$A24))</f>
        <v/>
      </c>
      <c r="E24" s="18" t="n">
        <f aca="false">IF($C24="",0,ROUND($C24*$D24,0))</f>
        <v>0</v>
      </c>
      <c r="F24" s="22"/>
    </row>
    <row r="25" customFormat="false" ht="15" hidden="false" customHeight="false" outlineLevel="0" collapsed="false">
      <c r="A25" s="21"/>
      <c r="B25" s="22"/>
      <c r="C25" s="23"/>
      <c r="D25" s="19" t="str">
        <f aca="false">IF($A25="","",IFERROR(IF(INDEX(tblKasa[Tarih],ROW($A25)-ROW(tblKasa[[#Headers],[Tarih]])+1)=0,RaporTarihi,INDEX(tblKasa[Tarih],ROW($A25)-ROW(tblKasa[[#Headers],[Tarih]])+1))-$A25,RaporTarihi-$A25))</f>
        <v/>
      </c>
      <c r="E25" s="18" t="n">
        <f aca="false">IF($C25="",0,ROUND($C25*$D25,0))</f>
        <v>0</v>
      </c>
      <c r="F25" s="22"/>
    </row>
    <row r="26" customFormat="false" ht="15" hidden="false" customHeight="false" outlineLevel="0" collapsed="false">
      <c r="A26" s="21"/>
      <c r="B26" s="22"/>
      <c r="C26" s="23"/>
      <c r="D26" s="19" t="str">
        <f aca="false">IF($A26="","",IFERROR(IF(INDEX(tblKasa[Tarih],ROW($A26)-ROW(tblKasa[[#Headers],[Tarih]])+1)=0,RaporTarihi,INDEX(tblKasa[Tarih],ROW($A26)-ROW(tblKasa[[#Headers],[Tarih]])+1))-$A26,RaporTarihi-$A26))</f>
        <v/>
      </c>
      <c r="E26" s="18" t="n">
        <f aca="false">IF($C26="",0,ROUND($C26*$D26,0))</f>
        <v>0</v>
      </c>
      <c r="F26" s="22"/>
    </row>
    <row r="27" customFormat="false" ht="15" hidden="false" customHeight="false" outlineLevel="0" collapsed="false">
      <c r="A27" s="21"/>
      <c r="B27" s="22"/>
      <c r="C27" s="23"/>
      <c r="D27" s="19" t="str">
        <f aca="false">IF($A27="","",IFERROR(IF(INDEX(tblKasa[Tarih],ROW($A27)-ROW(tblKasa[[#Headers],[Tarih]])+1)=0,RaporTarihi,INDEX(tblKasa[Tarih],ROW($A27)-ROW(tblKasa[[#Headers],[Tarih]])+1))-$A27,RaporTarihi-$A27))</f>
        <v/>
      </c>
      <c r="E27" s="18" t="n">
        <f aca="false">IF($C27="",0,ROUND($C27*$D27,0))</f>
        <v>0</v>
      </c>
      <c r="F27" s="22"/>
    </row>
    <row r="28" customFormat="false" ht="15" hidden="false" customHeight="false" outlineLevel="0" collapsed="false">
      <c r="A28" s="21"/>
      <c r="B28" s="22"/>
      <c r="C28" s="23"/>
      <c r="D28" s="19" t="str">
        <f aca="false">IF($A28="","",IFERROR(IF(INDEX(tblKasa[Tarih],ROW($A28)-ROW(tblKasa[[#Headers],[Tarih]])+1)=0,RaporTarihi,INDEX(tblKasa[Tarih],ROW($A28)-ROW(tblKasa[[#Headers],[Tarih]])+1))-$A28,RaporTarihi-$A28))</f>
        <v/>
      </c>
      <c r="E28" s="18" t="n">
        <f aca="false">IF($C28="",0,ROUND($C28*$D28,0))</f>
        <v>0</v>
      </c>
      <c r="F28" s="22"/>
    </row>
    <row r="29" customFormat="false" ht="15" hidden="false" customHeight="false" outlineLevel="0" collapsed="false">
      <c r="A29" s="21"/>
      <c r="B29" s="22"/>
      <c r="C29" s="23"/>
      <c r="D29" s="19" t="str">
        <f aca="false">IF($A29="","",IFERROR(IF(INDEX(tblKasa[Tarih],ROW($A29)-ROW(tblKasa[[#Headers],[Tarih]])+1)=0,RaporTarihi,INDEX(tblKasa[Tarih],ROW($A29)-ROW(tblKasa[[#Headers],[Tarih]])+1))-$A29,RaporTarihi-$A29))</f>
        <v/>
      </c>
      <c r="E29" s="18" t="n">
        <f aca="false">IF($C29="",0,ROUND($C29*$D29,0))</f>
        <v>0</v>
      </c>
      <c r="F29" s="22"/>
    </row>
    <row r="30" customFormat="false" ht="15" hidden="false" customHeight="false" outlineLevel="0" collapsed="false">
      <c r="A30" s="21"/>
      <c r="B30" s="22"/>
      <c r="C30" s="23"/>
      <c r="D30" s="19" t="str">
        <f aca="false">IF($A30="","",IFERROR(IF(INDEX(tblKasa[Tarih],ROW($A30)-ROW(tblKasa[[#Headers],[Tarih]])+1)=0,RaporTarihi,INDEX(tblKasa[Tarih],ROW($A30)-ROW(tblKasa[[#Headers],[Tarih]])+1))-$A30,RaporTarihi-$A30))</f>
        <v/>
      </c>
      <c r="E30" s="18" t="n">
        <f aca="false">IF($C30="",0,ROUND($C30*$D30,0))</f>
        <v>0</v>
      </c>
      <c r="F30" s="22"/>
    </row>
    <row r="31" customFormat="false" ht="15" hidden="false" customHeight="false" outlineLevel="0" collapsed="false">
      <c r="A31" s="21"/>
      <c r="B31" s="22"/>
      <c r="C31" s="23"/>
      <c r="D31" s="19" t="str">
        <f aca="false">IF($A31="","",IFERROR(IF(INDEX(tblKasa[Tarih],ROW($A31)-ROW(tblKasa[[#Headers],[Tarih]])+1)=0,RaporTarihi,INDEX(tblKasa[Tarih],ROW($A31)-ROW(tblKasa[[#Headers],[Tarih]])+1))-$A31,RaporTarihi-$A31))</f>
        <v/>
      </c>
      <c r="E31" s="18" t="n">
        <f aca="false">IF($C31="",0,ROUND($C31*$D31,0))</f>
        <v>0</v>
      </c>
      <c r="F31" s="22"/>
    </row>
    <row r="32" customFormat="false" ht="15" hidden="false" customHeight="false" outlineLevel="0" collapsed="false">
      <c r="A32" s="21"/>
      <c r="B32" s="22"/>
      <c r="C32" s="23"/>
      <c r="D32" s="19" t="str">
        <f aca="false">IF($A32="","",IFERROR(IF(INDEX(tblKasa[Tarih],ROW($A32)-ROW(tblKasa[[#Headers],[Tarih]])+1)=0,RaporTarihi,INDEX(tblKasa[Tarih],ROW($A32)-ROW(tblKasa[[#Headers],[Tarih]])+1))-$A32,RaporTarihi-$A32))</f>
        <v/>
      </c>
      <c r="E32" s="18" t="n">
        <f aca="false">IF($C32="",0,ROUND($C32*$D32,0))</f>
        <v>0</v>
      </c>
      <c r="F32" s="22"/>
    </row>
    <row r="33" customFormat="false" ht="15" hidden="false" customHeight="false" outlineLevel="0" collapsed="false">
      <c r="A33" s="21"/>
      <c r="B33" s="22"/>
      <c r="C33" s="23"/>
      <c r="D33" s="19" t="str">
        <f aca="false">IF($A33="","",IFERROR(IF(INDEX(tblKasa[Tarih],ROW($A33)-ROW(tblKasa[[#Headers],[Tarih]])+1)=0,RaporTarihi,INDEX(tblKasa[Tarih],ROW($A33)-ROW(tblKasa[[#Headers],[Tarih]])+1))-$A33,RaporTarihi-$A33))</f>
        <v/>
      </c>
      <c r="E33" s="18" t="n">
        <f aca="false">IF($C33="",0,ROUND($C33*$D33,0))</f>
        <v>0</v>
      </c>
      <c r="F33" s="22"/>
    </row>
    <row r="34" customFormat="false" ht="15" hidden="false" customHeight="false" outlineLevel="0" collapsed="false">
      <c r="A34" s="21"/>
      <c r="B34" s="22"/>
      <c r="C34" s="23"/>
      <c r="D34" s="19" t="str">
        <f aca="false">IF($A34="","",IFERROR(IF(INDEX(tblKasa[Tarih],ROW($A34)-ROW(tblKasa[[#Headers],[Tarih]])+1)=0,RaporTarihi,INDEX(tblKasa[Tarih],ROW($A34)-ROW(tblKasa[[#Headers],[Tarih]])+1))-$A34,RaporTarihi-$A34))</f>
        <v/>
      </c>
      <c r="E34" s="18" t="n">
        <f aca="false">IF($C34="",0,ROUND($C34*$D34,0))</f>
        <v>0</v>
      </c>
      <c r="F34" s="22"/>
    </row>
    <row r="35" customFormat="false" ht="15" hidden="false" customHeight="false" outlineLevel="0" collapsed="false">
      <c r="A35" s="21"/>
      <c r="B35" s="22"/>
      <c r="C35" s="23"/>
      <c r="D35" s="19" t="str">
        <f aca="false">IF($A35="","",IFERROR(IF(INDEX(tblKasa[Tarih],ROW($A35)-ROW(tblKasa[[#Headers],[Tarih]])+1)=0,RaporTarihi,INDEX(tblKasa[Tarih],ROW($A35)-ROW(tblKasa[[#Headers],[Tarih]])+1))-$A35,RaporTarihi-$A35))</f>
        <v/>
      </c>
      <c r="E35" s="18" t="n">
        <f aca="false">IF($C35="",0,ROUND($C35*$D35,0))</f>
        <v>0</v>
      </c>
      <c r="F35" s="22"/>
    </row>
    <row r="36" customFormat="false" ht="15" hidden="false" customHeight="false" outlineLevel="0" collapsed="false">
      <c r="A36" s="21"/>
      <c r="B36" s="22"/>
      <c r="C36" s="23"/>
      <c r="D36" s="19" t="str">
        <f aca="false">IF($A36="","",IFERROR(IF(INDEX(tblKasa[Tarih],ROW($A36)-ROW(tblKasa[[#Headers],[Tarih]])+1)=0,RaporTarihi,INDEX(tblKasa[Tarih],ROW($A36)-ROW(tblKasa[[#Headers],[Tarih]])+1))-$A36,RaporTarihi-$A36))</f>
        <v/>
      </c>
      <c r="E36" s="18" t="n">
        <f aca="false">IF($C36="",0,ROUND($C36*$D36,0))</f>
        <v>0</v>
      </c>
      <c r="F36" s="22"/>
    </row>
    <row r="37" customFormat="false" ht="15" hidden="false" customHeight="false" outlineLevel="0" collapsed="false">
      <c r="A37" s="21"/>
      <c r="B37" s="22"/>
      <c r="C37" s="23"/>
      <c r="D37" s="19" t="str">
        <f aca="false">IF($A37="","",IFERROR(IF(INDEX(tblKasa[Tarih],ROW($A37)-ROW(tblKasa[[#Headers],[Tarih]])+1)=0,RaporTarihi,INDEX(tblKasa[Tarih],ROW($A37)-ROW(tblKasa[[#Headers],[Tarih]])+1))-$A37,RaporTarihi-$A37))</f>
        <v/>
      </c>
      <c r="E37" s="18" t="n">
        <f aca="false">IF($C37="",0,ROUND($C37*$D37,0))</f>
        <v>0</v>
      </c>
      <c r="F37" s="22"/>
    </row>
    <row r="38" customFormat="false" ht="15" hidden="false" customHeight="false" outlineLevel="0" collapsed="false">
      <c r="A38" s="21"/>
      <c r="B38" s="22"/>
      <c r="C38" s="23"/>
      <c r="D38" s="19" t="str">
        <f aca="false">IF($A38="","",IFERROR(IF(INDEX(tblKasa[Tarih],ROW($A38)-ROW(tblKasa[[#Headers],[Tarih]])+1)=0,RaporTarihi,INDEX(tblKasa[Tarih],ROW($A38)-ROW(tblKasa[[#Headers],[Tarih]])+1))-$A38,RaporTarihi-$A38))</f>
        <v/>
      </c>
      <c r="E38" s="18" t="n">
        <f aca="false">IF($C38="",0,ROUND($C38*$D38,0))</f>
        <v>0</v>
      </c>
      <c r="F38" s="22"/>
    </row>
    <row r="39" customFormat="false" ht="15" hidden="false" customHeight="false" outlineLevel="0" collapsed="false">
      <c r="A39" s="21"/>
      <c r="B39" s="22"/>
      <c r="C39" s="23"/>
      <c r="D39" s="19" t="str">
        <f aca="false">IF($A39="","",IFERROR(IF(INDEX(tblKasa[Tarih],ROW($A39)-ROW(tblKasa[[#Headers],[Tarih]])+1)=0,RaporTarihi,INDEX(tblKasa[Tarih],ROW($A39)-ROW(tblKasa[[#Headers],[Tarih]])+1))-$A39,RaporTarihi-$A39))</f>
        <v/>
      </c>
      <c r="E39" s="18" t="n">
        <f aca="false">IF($C39="",0,ROUND($C39*$D39,0))</f>
        <v>0</v>
      </c>
      <c r="F39" s="22"/>
    </row>
    <row r="40" customFormat="false" ht="15" hidden="false" customHeight="false" outlineLevel="0" collapsed="false">
      <c r="A40" s="21"/>
      <c r="B40" s="22"/>
      <c r="C40" s="23"/>
      <c r="D40" s="19" t="str">
        <f aca="false">IF($A40="","",IFERROR(IF(INDEX(tblKasa[Tarih],ROW($A40)-ROW(tblKasa[[#Headers],[Tarih]])+1)=0,RaporTarihi,INDEX(tblKasa[Tarih],ROW($A40)-ROW(tblKasa[[#Headers],[Tarih]])+1))-$A40,RaporTarihi-$A40))</f>
        <v/>
      </c>
      <c r="E40" s="18" t="n">
        <f aca="false">IF($C40="",0,ROUND($C40*$D40,0))</f>
        <v>0</v>
      </c>
      <c r="F40" s="22"/>
    </row>
    <row r="41" customFormat="false" ht="15" hidden="false" customHeight="false" outlineLevel="0" collapsed="false">
      <c r="A41" s="21"/>
      <c r="B41" s="22"/>
      <c r="C41" s="23"/>
      <c r="D41" s="19" t="str">
        <f aca="false">IF($A41="","",IFERROR(IF(INDEX(tblKasa[Tarih],ROW($A41)-ROW(tblKasa[[#Headers],[Tarih]])+1)=0,RaporTarihi,INDEX(tblKasa[Tarih],ROW($A41)-ROW(tblKasa[[#Headers],[Tarih]])+1))-$A41,RaporTarihi-$A41))</f>
        <v/>
      </c>
      <c r="E41" s="18" t="n">
        <f aca="false">IF($C41="",0,ROUND($C41*$D41,0))</f>
        <v>0</v>
      </c>
      <c r="F41" s="22"/>
    </row>
    <row r="42" customFormat="false" ht="15" hidden="false" customHeight="false" outlineLevel="0" collapsed="false">
      <c r="A42" s="21"/>
      <c r="B42" s="22"/>
      <c r="C42" s="23"/>
      <c r="D42" s="19" t="str">
        <f aca="false">IF($A42="","",IFERROR(IF(INDEX(tblKasa[Tarih],ROW($A42)-ROW(tblKasa[[#Headers],[Tarih]])+1)=0,RaporTarihi,INDEX(tblKasa[Tarih],ROW($A42)-ROW(tblKasa[[#Headers],[Tarih]])+1))-$A42,RaporTarihi-$A42))</f>
        <v/>
      </c>
      <c r="E42" s="18" t="n">
        <f aca="false">IF($C42="",0,ROUND($C42*$D42,0))</f>
        <v>0</v>
      </c>
      <c r="F42" s="22"/>
    </row>
    <row r="43" customFormat="false" ht="15" hidden="false" customHeight="false" outlineLevel="0" collapsed="false">
      <c r="A43" s="21"/>
      <c r="B43" s="22"/>
      <c r="C43" s="23"/>
      <c r="D43" s="19" t="str">
        <f aca="false">IF($A43="","",IFERROR(IF(INDEX(tblKasa[Tarih],ROW($A43)-ROW(tblKasa[[#Headers],[Tarih]])+1)=0,RaporTarihi,INDEX(tblKasa[Tarih],ROW($A43)-ROW(tblKasa[[#Headers],[Tarih]])+1))-$A43,RaporTarihi-$A43))</f>
        <v/>
      </c>
      <c r="E43" s="18" t="n">
        <f aca="false">IF($C43="",0,ROUND($C43*$D43,0))</f>
        <v>0</v>
      </c>
      <c r="F43" s="22"/>
    </row>
    <row r="44" customFormat="false" ht="15" hidden="false" customHeight="false" outlineLevel="0" collapsed="false">
      <c r="A44" s="21"/>
      <c r="B44" s="22"/>
      <c r="C44" s="23"/>
      <c r="D44" s="19" t="str">
        <f aca="false">IF($A44="","",IFERROR(IF(INDEX(tblKasa[Tarih],ROW($A44)-ROW(tblKasa[[#Headers],[Tarih]])+1)=0,RaporTarihi,INDEX(tblKasa[Tarih],ROW($A44)-ROW(tblKasa[[#Headers],[Tarih]])+1))-$A44,RaporTarihi-$A44))</f>
        <v/>
      </c>
      <c r="E44" s="18" t="n">
        <f aca="false">IF($C44="",0,ROUND($C44*$D44,0))</f>
        <v>0</v>
      </c>
      <c r="F44" s="22"/>
    </row>
    <row r="45" customFormat="false" ht="15" hidden="false" customHeight="false" outlineLevel="0" collapsed="false">
      <c r="A45" s="21"/>
      <c r="B45" s="22"/>
      <c r="C45" s="23"/>
      <c r="D45" s="19" t="str">
        <f aca="false">IF($A45="","",IFERROR(IF(INDEX(tblKasa[Tarih],ROW($A45)-ROW(tblKasa[[#Headers],[Tarih]])+1)=0,RaporTarihi,INDEX(tblKasa[Tarih],ROW($A45)-ROW(tblKasa[[#Headers],[Tarih]])+1))-$A45,RaporTarihi-$A45))</f>
        <v/>
      </c>
      <c r="E45" s="18" t="n">
        <f aca="false">IF($C45="",0,ROUND($C45*$D45,0))</f>
        <v>0</v>
      </c>
      <c r="F45" s="22"/>
    </row>
    <row r="46" customFormat="false" ht="15" hidden="false" customHeight="false" outlineLevel="0" collapsed="false">
      <c r="A46" s="21"/>
      <c r="B46" s="22"/>
      <c r="C46" s="23"/>
      <c r="D46" s="19" t="str">
        <f aca="false">IF($A46="","",IFERROR(IF(INDEX(tblKasa[Tarih],ROW($A46)-ROW(tblKasa[[#Headers],[Tarih]])+1)=0,RaporTarihi,INDEX(tblKasa[Tarih],ROW($A46)-ROW(tblKasa[[#Headers],[Tarih]])+1))-$A46,RaporTarihi-$A46))</f>
        <v/>
      </c>
      <c r="E46" s="18" t="n">
        <f aca="false">IF($C46="",0,ROUND($C46*$D46,0))</f>
        <v>0</v>
      </c>
      <c r="F46" s="22"/>
    </row>
    <row r="47" customFormat="false" ht="15" hidden="false" customHeight="false" outlineLevel="0" collapsed="false">
      <c r="A47" s="21"/>
      <c r="B47" s="22"/>
      <c r="C47" s="23"/>
      <c r="D47" s="19" t="str">
        <f aca="false">IF($A47="","",IFERROR(IF(INDEX(tblKasa[Tarih],ROW($A47)-ROW(tblKasa[[#Headers],[Tarih]])+1)=0,RaporTarihi,INDEX(tblKasa[Tarih],ROW($A47)-ROW(tblKasa[[#Headers],[Tarih]])+1))-$A47,RaporTarihi-$A47))</f>
        <v/>
      </c>
      <c r="E47" s="18" t="n">
        <f aca="false">IF($C47="",0,ROUND($C47*$D47,0))</f>
        <v>0</v>
      </c>
      <c r="F47" s="22"/>
    </row>
    <row r="48" customFormat="false" ht="15" hidden="false" customHeight="false" outlineLevel="0" collapsed="false">
      <c r="A48" s="21"/>
      <c r="B48" s="22"/>
      <c r="C48" s="23"/>
      <c r="D48" s="19" t="str">
        <f aca="false">IF($A48="","",IFERROR(IF(INDEX(tblKasa[Tarih],ROW($A48)-ROW(tblKasa[[#Headers],[Tarih]])+1)=0,RaporTarihi,INDEX(tblKasa[Tarih],ROW($A48)-ROW(tblKasa[[#Headers],[Tarih]])+1))-$A48,RaporTarihi-$A48))</f>
        <v/>
      </c>
      <c r="E48" s="18" t="n">
        <f aca="false">IF($C48="",0,ROUND($C48*$D48,0))</f>
        <v>0</v>
      </c>
      <c r="F48" s="22"/>
    </row>
    <row r="49" customFormat="false" ht="15" hidden="false" customHeight="false" outlineLevel="0" collapsed="false">
      <c r="A49" s="21"/>
      <c r="B49" s="22"/>
      <c r="C49" s="23"/>
      <c r="D49" s="19" t="str">
        <f aca="false">IF($A49="","",IFERROR(IF(INDEX(tblKasa[Tarih],ROW($A49)-ROW(tblKasa[[#Headers],[Tarih]])+1)=0,RaporTarihi,INDEX(tblKasa[Tarih],ROW($A49)-ROW(tblKasa[[#Headers],[Tarih]])+1))-$A49,RaporTarihi-$A49))</f>
        <v/>
      </c>
      <c r="E49" s="18" t="n">
        <f aca="false">IF($C49="",0,ROUND($C49*$D49,0))</f>
        <v>0</v>
      </c>
      <c r="F49" s="22"/>
    </row>
    <row r="50" customFormat="false" ht="15" hidden="false" customHeight="false" outlineLevel="0" collapsed="false">
      <c r="A50" s="21"/>
      <c r="B50" s="22"/>
      <c r="C50" s="23"/>
      <c r="D50" s="19" t="str">
        <f aca="false">IF($A50="","",IFERROR(IF(INDEX(tblKasa[Tarih],ROW($A50)-ROW(tblKasa[[#Headers],[Tarih]])+1)=0,RaporTarihi,INDEX(tblKasa[Tarih],ROW($A50)-ROW(tblKasa[[#Headers],[Tarih]])+1))-$A50,RaporTarihi-$A50))</f>
        <v/>
      </c>
      <c r="E50" s="18" t="n">
        <f aca="false">IF($C50="",0,ROUND($C50*$D50,0))</f>
        <v>0</v>
      </c>
      <c r="F50" s="22"/>
    </row>
    <row r="51" customFormat="false" ht="15" hidden="false" customHeight="false" outlineLevel="0" collapsed="false">
      <c r="A51" s="21"/>
      <c r="B51" s="22"/>
      <c r="C51" s="23"/>
      <c r="D51" s="19" t="str">
        <f aca="false">IF($A51="","",IFERROR(IF(INDEX(tblKasa[Tarih],ROW($A51)-ROW(tblKasa[[#Headers],[Tarih]])+1)=0,RaporTarihi,INDEX(tblKasa[Tarih],ROW($A51)-ROW(tblKasa[[#Headers],[Tarih]])+1))-$A51,RaporTarihi-$A51))</f>
        <v/>
      </c>
      <c r="E51" s="18" t="n">
        <f aca="false">IF($C51="",0,ROUND($C51*$D51,0))</f>
        <v>0</v>
      </c>
      <c r="F51" s="22"/>
    </row>
    <row r="52" customFormat="false" ht="15" hidden="false" customHeight="false" outlineLevel="0" collapsed="false">
      <c r="A52" s="21"/>
      <c r="B52" s="22"/>
      <c r="C52" s="23"/>
      <c r="D52" s="19" t="str">
        <f aca="false">IF($A52="","",IFERROR(IF(INDEX(tblKasa[Tarih],ROW($A52)-ROW(tblKasa[[#Headers],[Tarih]])+1)=0,RaporTarihi,INDEX(tblKasa[Tarih],ROW($A52)-ROW(tblKasa[[#Headers],[Tarih]])+1))-$A52,RaporTarihi-$A52))</f>
        <v/>
      </c>
      <c r="E52" s="18" t="n">
        <f aca="false">IF($C52="",0,ROUND($C52*$D52,0))</f>
        <v>0</v>
      </c>
      <c r="F52" s="22"/>
    </row>
    <row r="53" customFormat="false" ht="15" hidden="false" customHeight="false" outlineLevel="0" collapsed="false">
      <c r="A53" s="21"/>
      <c r="B53" s="22"/>
      <c r="C53" s="23"/>
      <c r="D53" s="19" t="str">
        <f aca="false">IF($A53="","",IFERROR(IF(INDEX(tblKasa[Tarih],ROW($A53)-ROW(tblKasa[[#Headers],[Tarih]])+1)=0,RaporTarihi,INDEX(tblKasa[Tarih],ROW($A53)-ROW(tblKasa[[#Headers],[Tarih]])+1))-$A53,RaporTarihi-$A53))</f>
        <v/>
      </c>
      <c r="E53" s="18" t="n">
        <f aca="false">IF($C53="",0,ROUND($C53*$D53,0))</f>
        <v>0</v>
      </c>
      <c r="F53" s="22"/>
    </row>
    <row r="54" customFormat="false" ht="15" hidden="false" customHeight="false" outlineLevel="0" collapsed="false">
      <c r="A54" s="21"/>
      <c r="B54" s="22"/>
      <c r="C54" s="23"/>
      <c r="D54" s="19" t="str">
        <f aca="false">IF($A54="","",IFERROR(IF(INDEX(tblKasa[Tarih],ROW($A54)-ROW(tblKasa[[#Headers],[Tarih]])+1)=0,RaporTarihi,INDEX(tblKasa[Tarih],ROW($A54)-ROW(tblKasa[[#Headers],[Tarih]])+1))-$A54,RaporTarihi-$A54))</f>
        <v/>
      </c>
      <c r="E54" s="18" t="n">
        <f aca="false">IF($C54="",0,ROUND($C54*$D54,0))</f>
        <v>0</v>
      </c>
      <c r="F54" s="22"/>
    </row>
    <row r="55" customFormat="false" ht="15" hidden="false" customHeight="false" outlineLevel="0" collapsed="false">
      <c r="A55" s="21"/>
      <c r="B55" s="22"/>
      <c r="C55" s="23"/>
      <c r="D55" s="19" t="str">
        <f aca="false">IF($A55="","",IFERROR(IF(INDEX(tblKasa[Tarih],ROW($A55)-ROW(tblKasa[[#Headers],[Tarih]])+1)=0,RaporTarihi,INDEX(tblKasa[Tarih],ROW($A55)-ROW(tblKasa[[#Headers],[Tarih]])+1))-$A55,RaporTarihi-$A55))</f>
        <v/>
      </c>
      <c r="E55" s="18" t="n">
        <f aca="false">IF($C55="",0,ROUND($C55*$D55,0))</f>
        <v>0</v>
      </c>
      <c r="F55" s="22"/>
    </row>
    <row r="56" customFormat="false" ht="15" hidden="false" customHeight="false" outlineLevel="0" collapsed="false">
      <c r="A56" s="21"/>
      <c r="B56" s="22"/>
      <c r="C56" s="23"/>
      <c r="D56" s="19" t="str">
        <f aca="false">IF($A56="","",IFERROR(IF(INDEX(tblKasa[Tarih],ROW($A56)-ROW(tblKasa[[#Headers],[Tarih]])+1)=0,RaporTarihi,INDEX(tblKasa[Tarih],ROW($A56)-ROW(tblKasa[[#Headers],[Tarih]])+1))-$A56,RaporTarihi-$A56))</f>
        <v/>
      </c>
      <c r="E56" s="18" t="n">
        <f aca="false">IF($C56="",0,ROUND($C56*$D56,0))</f>
        <v>0</v>
      </c>
      <c r="F56" s="22"/>
    </row>
    <row r="57" customFormat="false" ht="15" hidden="false" customHeight="false" outlineLevel="0" collapsed="false">
      <c r="A57" s="21"/>
      <c r="B57" s="22"/>
      <c r="C57" s="23"/>
      <c r="D57" s="19" t="str">
        <f aca="false">IF($A57="","",IFERROR(IF(INDEX(tblKasa[Tarih],ROW($A57)-ROW(tblKasa[[#Headers],[Tarih]])+1)=0,RaporTarihi,INDEX(tblKasa[Tarih],ROW($A57)-ROW(tblKasa[[#Headers],[Tarih]])+1))-$A57,RaporTarihi-$A57))</f>
        <v/>
      </c>
      <c r="E57" s="18" t="n">
        <f aca="false">IF($C57="",0,ROUND($C57*$D57,0))</f>
        <v>0</v>
      </c>
      <c r="F57" s="22"/>
    </row>
    <row r="58" customFormat="false" ht="15" hidden="false" customHeight="false" outlineLevel="0" collapsed="false">
      <c r="A58" s="21"/>
      <c r="B58" s="22"/>
      <c r="C58" s="23"/>
      <c r="D58" s="19" t="str">
        <f aca="false">IF($A58="","",IFERROR(IF(INDEX(tblKasa[Tarih],ROW($A58)-ROW(tblKasa[[#Headers],[Tarih]])+1)=0,RaporTarihi,INDEX(tblKasa[Tarih],ROW($A58)-ROW(tblKasa[[#Headers],[Tarih]])+1))-$A58,RaporTarihi-$A58))</f>
        <v/>
      </c>
      <c r="E58" s="18" t="n">
        <f aca="false">IF($C58="",0,ROUND($C58*$D58,0))</f>
        <v>0</v>
      </c>
      <c r="F58" s="22"/>
    </row>
    <row r="59" customFormat="false" ht="15" hidden="false" customHeight="false" outlineLevel="0" collapsed="false">
      <c r="A59" s="21"/>
      <c r="B59" s="22"/>
      <c r="C59" s="23"/>
      <c r="D59" s="19" t="str">
        <f aca="false">IF($A59="","",IFERROR(IF(INDEX(tblKasa[Tarih],ROW($A59)-ROW(tblKasa[[#Headers],[Tarih]])+1)=0,RaporTarihi,INDEX(tblKasa[Tarih],ROW($A59)-ROW(tblKasa[[#Headers],[Tarih]])+1))-$A59,RaporTarihi-$A59))</f>
        <v/>
      </c>
      <c r="E59" s="18" t="n">
        <f aca="false">IF($C59="",0,ROUND($C59*$D59,0))</f>
        <v>0</v>
      </c>
      <c r="F59" s="22"/>
    </row>
    <row r="60" customFormat="false" ht="15" hidden="false" customHeight="false" outlineLevel="0" collapsed="false">
      <c r="A60" s="21"/>
      <c r="B60" s="22"/>
      <c r="C60" s="23"/>
      <c r="D60" s="19" t="str">
        <f aca="false">IF($A60="","",IFERROR(IF(INDEX(tblKasa[Tarih],ROW($A60)-ROW(tblKasa[[#Headers],[Tarih]])+1)=0,RaporTarihi,INDEX(tblKasa[Tarih],ROW($A60)-ROW(tblKasa[[#Headers],[Tarih]])+1))-$A60,RaporTarihi-$A60))</f>
        <v/>
      </c>
      <c r="E60" s="18" t="n">
        <f aca="false">IF($C60="",0,ROUND($C60*$D60,0))</f>
        <v>0</v>
      </c>
      <c r="F60" s="22"/>
    </row>
    <row r="61" customFormat="false" ht="15" hidden="false" customHeight="false" outlineLevel="0" collapsed="false">
      <c r="A61" s="21"/>
      <c r="B61" s="22"/>
      <c r="C61" s="23"/>
      <c r="D61" s="19" t="str">
        <f aca="false">IF($A61="","",IFERROR(IF(INDEX(tblKasa[Tarih],ROW($A61)-ROW(tblKasa[[#Headers],[Tarih]])+1)=0,RaporTarihi,INDEX(tblKasa[Tarih],ROW($A61)-ROW(tblKasa[[#Headers],[Tarih]])+1))-$A61,RaporTarihi-$A61))</f>
        <v/>
      </c>
      <c r="E61" s="18" t="n">
        <f aca="false">IF($C61="",0,ROUND($C61*$D61,0))</f>
        <v>0</v>
      </c>
      <c r="F61" s="22"/>
    </row>
    <row r="62" customFormat="false" ht="15" hidden="false" customHeight="false" outlineLevel="0" collapsed="false">
      <c r="A62" s="21"/>
      <c r="B62" s="22"/>
      <c r="C62" s="23"/>
      <c r="D62" s="19" t="str">
        <f aca="false">IF($A62="","",IFERROR(IF(INDEX(tblKasa[Tarih],ROW($A62)-ROW(tblKasa[[#Headers],[Tarih]])+1)=0,RaporTarihi,INDEX(tblKasa[Tarih],ROW($A62)-ROW(tblKasa[[#Headers],[Tarih]])+1))-$A62,RaporTarihi-$A62))</f>
        <v/>
      </c>
      <c r="E62" s="18" t="n">
        <f aca="false">IF($C62="",0,ROUND($C62*$D62,0))</f>
        <v>0</v>
      </c>
      <c r="F62" s="22"/>
    </row>
    <row r="63" customFormat="false" ht="15" hidden="false" customHeight="false" outlineLevel="0" collapsed="false">
      <c r="A63" s="21"/>
      <c r="B63" s="22"/>
      <c r="C63" s="23"/>
      <c r="D63" s="19" t="str">
        <f aca="false">IF($A63="","",IFERROR(IF(INDEX(tblKasa[Tarih],ROW($A63)-ROW(tblKasa[[#Headers],[Tarih]])+1)=0,RaporTarihi,INDEX(tblKasa[Tarih],ROW($A63)-ROW(tblKasa[[#Headers],[Tarih]])+1))-$A63,RaporTarihi-$A63))</f>
        <v/>
      </c>
      <c r="E63" s="18" t="n">
        <f aca="false">IF($C63="",0,ROUND($C63*$D63,0))</f>
        <v>0</v>
      </c>
      <c r="F63" s="22"/>
    </row>
    <row r="64" customFormat="false" ht="15" hidden="false" customHeight="false" outlineLevel="0" collapsed="false">
      <c r="A64" s="21"/>
      <c r="B64" s="22"/>
      <c r="C64" s="23"/>
      <c r="D64" s="19" t="str">
        <f aca="false">IF($A64="","",IFERROR(IF(INDEX(tblKasa[Tarih],ROW($A64)-ROW(tblKasa[[#Headers],[Tarih]])+1)=0,RaporTarihi,INDEX(tblKasa[Tarih],ROW($A64)-ROW(tblKasa[[#Headers],[Tarih]])+1))-$A64,RaporTarihi-$A64))</f>
        <v/>
      </c>
      <c r="E64" s="18" t="n">
        <f aca="false">IF($C64="",0,ROUND($C64*$D64,0))</f>
        <v>0</v>
      </c>
      <c r="F64" s="22"/>
    </row>
    <row r="65" customFormat="false" ht="15" hidden="false" customHeight="false" outlineLevel="0" collapsed="false">
      <c r="A65" s="21"/>
      <c r="B65" s="22"/>
      <c r="C65" s="23"/>
      <c r="D65" s="19" t="str">
        <f aca="false">IF($A65="","",IFERROR(IF(INDEX(tblKasa[Tarih],ROW($A65)-ROW(tblKasa[[#Headers],[Tarih]])+1)=0,RaporTarihi,INDEX(tblKasa[Tarih],ROW($A65)-ROW(tblKasa[[#Headers],[Tarih]])+1))-$A65,RaporTarihi-$A65))</f>
        <v/>
      </c>
      <c r="E65" s="18" t="n">
        <f aca="false">IF($C65="",0,ROUND($C65*$D65,0))</f>
        <v>0</v>
      </c>
      <c r="F65" s="22"/>
    </row>
    <row r="66" customFormat="false" ht="15" hidden="false" customHeight="false" outlineLevel="0" collapsed="false">
      <c r="A66" s="21"/>
      <c r="B66" s="22"/>
      <c r="C66" s="23"/>
      <c r="D66" s="19" t="str">
        <f aca="false">IF($A66="","",IFERROR(IF(INDEX(tblKasa[Tarih],ROW($A66)-ROW(tblKasa[[#Headers],[Tarih]])+1)=0,RaporTarihi,INDEX(tblKasa[Tarih],ROW($A66)-ROW(tblKasa[[#Headers],[Tarih]])+1))-$A66,RaporTarihi-$A66))</f>
        <v/>
      </c>
      <c r="E66" s="18" t="n">
        <f aca="false">IF($C66="",0,ROUND($C66*$D66,0))</f>
        <v>0</v>
      </c>
      <c r="F66" s="22"/>
    </row>
    <row r="67" customFormat="false" ht="15" hidden="false" customHeight="false" outlineLevel="0" collapsed="false">
      <c r="A67" s="21"/>
      <c r="B67" s="22"/>
      <c r="C67" s="23"/>
      <c r="D67" s="19" t="str">
        <f aca="false">IF($A67="","",IFERROR(IF(INDEX(tblKasa[Tarih],ROW($A67)-ROW(tblKasa[[#Headers],[Tarih]])+1)=0,RaporTarihi,INDEX(tblKasa[Tarih],ROW($A67)-ROW(tblKasa[[#Headers],[Tarih]])+1))-$A67,RaporTarihi-$A67))</f>
        <v/>
      </c>
      <c r="E67" s="18" t="n">
        <f aca="false">IF($C67="",0,ROUND($C67*$D67,0))</f>
        <v>0</v>
      </c>
      <c r="F67" s="22"/>
    </row>
    <row r="68" customFormat="false" ht="15" hidden="false" customHeight="false" outlineLevel="0" collapsed="false">
      <c r="A68" s="21"/>
      <c r="B68" s="22"/>
      <c r="C68" s="23"/>
      <c r="D68" s="19" t="str">
        <f aca="false">IF($A68="","",IFERROR(IF(INDEX(tblKasa[Tarih],ROW($A68)-ROW(tblKasa[[#Headers],[Tarih]])+1)=0,RaporTarihi,INDEX(tblKasa[Tarih],ROW($A68)-ROW(tblKasa[[#Headers],[Tarih]])+1))-$A68,RaporTarihi-$A68))</f>
        <v/>
      </c>
      <c r="E68" s="18" t="n">
        <f aca="false">IF($C68="",0,ROUND($C68*$D68,0))</f>
        <v>0</v>
      </c>
      <c r="F68" s="22"/>
    </row>
    <row r="69" customFormat="false" ht="15" hidden="false" customHeight="false" outlineLevel="0" collapsed="false">
      <c r="A69" s="21"/>
      <c r="B69" s="22"/>
      <c r="C69" s="23"/>
      <c r="D69" s="19" t="str">
        <f aca="false">IF($A69="","",IFERROR(IF(INDEX(tblKasa[Tarih],ROW($A69)-ROW(tblKasa[[#Headers],[Tarih]])+1)=0,RaporTarihi,INDEX(tblKasa[Tarih],ROW($A69)-ROW(tblKasa[[#Headers],[Tarih]])+1))-$A69,RaporTarihi-$A69))</f>
        <v/>
      </c>
      <c r="E69" s="18" t="n">
        <f aca="false">IF($C69="",0,ROUND($C69*$D69,0))</f>
        <v>0</v>
      </c>
      <c r="F69" s="22"/>
    </row>
    <row r="70" customFormat="false" ht="15" hidden="false" customHeight="false" outlineLevel="0" collapsed="false">
      <c r="A70" s="21"/>
      <c r="B70" s="22"/>
      <c r="C70" s="23"/>
      <c r="D70" s="19" t="str">
        <f aca="false">IF($A70="","",IFERROR(IF(INDEX(tblKasa[Tarih],ROW($A70)-ROW(tblKasa[[#Headers],[Tarih]])+1)=0,RaporTarihi,INDEX(tblKasa[Tarih],ROW($A70)-ROW(tblKasa[[#Headers],[Tarih]])+1))-$A70,RaporTarihi-$A70))</f>
        <v/>
      </c>
      <c r="E70" s="18" t="n">
        <f aca="false">IF($C70="",0,ROUND($C70*$D70,0))</f>
        <v>0</v>
      </c>
      <c r="F70" s="22"/>
    </row>
    <row r="71" customFormat="false" ht="15" hidden="false" customHeight="false" outlineLevel="0" collapsed="false">
      <c r="A71" s="21"/>
      <c r="B71" s="22"/>
      <c r="C71" s="23"/>
      <c r="D71" s="19" t="str">
        <f aca="false">IF($A71="","",IFERROR(IF(INDEX(tblKasa[Tarih],ROW($A71)-ROW(tblKasa[[#Headers],[Tarih]])+1)=0,RaporTarihi,INDEX(tblKasa[Tarih],ROW($A71)-ROW(tblKasa[[#Headers],[Tarih]])+1))-$A71,RaporTarihi-$A71))</f>
        <v/>
      </c>
      <c r="E71" s="18" t="n">
        <f aca="false">IF($C71="",0,ROUND($C71*$D71,0))</f>
        <v>0</v>
      </c>
      <c r="F71" s="22"/>
    </row>
    <row r="72" customFormat="false" ht="15" hidden="false" customHeight="false" outlineLevel="0" collapsed="false">
      <c r="A72" s="21"/>
      <c r="B72" s="22"/>
      <c r="C72" s="23"/>
      <c r="D72" s="19" t="str">
        <f aca="false">IF($A72="","",IFERROR(IF(INDEX(tblKasa[Tarih],ROW($A72)-ROW(tblKasa[[#Headers],[Tarih]])+1)=0,RaporTarihi,INDEX(tblKasa[Tarih],ROW($A72)-ROW(tblKasa[[#Headers],[Tarih]])+1))-$A72,RaporTarihi-$A72))</f>
        <v/>
      </c>
      <c r="E72" s="18" t="n">
        <f aca="false">IF($C72="",0,ROUND($C72*$D72,0))</f>
        <v>0</v>
      </c>
      <c r="F72" s="22"/>
    </row>
    <row r="73" customFormat="false" ht="15" hidden="false" customHeight="false" outlineLevel="0" collapsed="false">
      <c r="A73" s="21"/>
      <c r="B73" s="22"/>
      <c r="C73" s="23"/>
      <c r="D73" s="19" t="str">
        <f aca="false">IF($A73="","",IFERROR(IF(INDEX(tblKasa[Tarih],ROW($A73)-ROW(tblKasa[[#Headers],[Tarih]])+1)=0,RaporTarihi,INDEX(tblKasa[Tarih],ROW($A73)-ROW(tblKasa[[#Headers],[Tarih]])+1))-$A73,RaporTarihi-$A73))</f>
        <v/>
      </c>
      <c r="E73" s="18" t="n">
        <f aca="false">IF($C73="",0,ROUND($C73*$D73,0))</f>
        <v>0</v>
      </c>
      <c r="F73" s="22"/>
    </row>
    <row r="74" customFormat="false" ht="15" hidden="false" customHeight="false" outlineLevel="0" collapsed="false">
      <c r="A74" s="21"/>
      <c r="B74" s="22"/>
      <c r="C74" s="23"/>
      <c r="D74" s="19" t="str">
        <f aca="false">IF($A74="","",IFERROR(IF(INDEX(tblKasa[Tarih],ROW($A74)-ROW(tblKasa[[#Headers],[Tarih]])+1)=0,RaporTarihi,INDEX(tblKasa[Tarih],ROW($A74)-ROW(tblKasa[[#Headers],[Tarih]])+1))-$A74,RaporTarihi-$A74))</f>
        <v/>
      </c>
      <c r="E74" s="18" t="n">
        <f aca="false">IF($C74="",0,ROUND($C74*$D74,0))</f>
        <v>0</v>
      </c>
      <c r="F74" s="22"/>
    </row>
    <row r="75" customFormat="false" ht="15" hidden="false" customHeight="false" outlineLevel="0" collapsed="false">
      <c r="A75" s="21"/>
      <c r="B75" s="22"/>
      <c r="C75" s="23"/>
      <c r="D75" s="19" t="str">
        <f aca="false">IF($A75="","",IFERROR(IF(INDEX(tblKasa[Tarih],ROW($A75)-ROW(tblKasa[[#Headers],[Tarih]])+1)=0,RaporTarihi,INDEX(tblKasa[Tarih],ROW($A75)-ROW(tblKasa[[#Headers],[Tarih]])+1))-$A75,RaporTarihi-$A75))</f>
        <v/>
      </c>
      <c r="E75" s="18" t="n">
        <f aca="false">IF($C75="",0,ROUND($C75*$D75,0))</f>
        <v>0</v>
      </c>
      <c r="F75" s="22"/>
    </row>
    <row r="76" customFormat="false" ht="15" hidden="false" customHeight="false" outlineLevel="0" collapsed="false">
      <c r="A76" s="21"/>
      <c r="B76" s="22"/>
      <c r="C76" s="23"/>
      <c r="D76" s="19" t="str">
        <f aca="false">IF($A76="","",IFERROR(IF(INDEX(tblKasa[Tarih],ROW($A76)-ROW(tblKasa[[#Headers],[Tarih]])+1)=0,RaporTarihi,INDEX(tblKasa[Tarih],ROW($A76)-ROW(tblKasa[[#Headers],[Tarih]])+1))-$A76,RaporTarihi-$A76))</f>
        <v/>
      </c>
      <c r="E76" s="18" t="n">
        <f aca="false">IF($C76="",0,ROUND($C76*$D76,0))</f>
        <v>0</v>
      </c>
      <c r="F76" s="22"/>
    </row>
    <row r="77" customFormat="false" ht="15" hidden="false" customHeight="false" outlineLevel="0" collapsed="false">
      <c r="A77" s="21"/>
      <c r="B77" s="22"/>
      <c r="C77" s="23"/>
      <c r="D77" s="19" t="str">
        <f aca="false">IF($A77="","",IFERROR(IF(INDEX(tblKasa[Tarih],ROW($A77)-ROW(tblKasa[[#Headers],[Tarih]])+1)=0,RaporTarihi,INDEX(tblKasa[Tarih],ROW($A77)-ROW(tblKasa[[#Headers],[Tarih]])+1))-$A77,RaporTarihi-$A77))</f>
        <v/>
      </c>
      <c r="E77" s="18" t="n">
        <f aca="false">IF($C77="",0,ROUND($C77*$D77,0))</f>
        <v>0</v>
      </c>
      <c r="F77" s="22"/>
    </row>
    <row r="78" customFormat="false" ht="15" hidden="false" customHeight="false" outlineLevel="0" collapsed="false">
      <c r="A78" s="21"/>
      <c r="B78" s="22"/>
      <c r="C78" s="23"/>
      <c r="D78" s="19" t="str">
        <f aca="false">IF($A78="","",IFERROR(IF(INDEX(tblKasa[Tarih],ROW($A78)-ROW(tblKasa[[#Headers],[Tarih]])+1)=0,RaporTarihi,INDEX(tblKasa[Tarih],ROW($A78)-ROW(tblKasa[[#Headers],[Tarih]])+1))-$A78,RaporTarihi-$A78))</f>
        <v/>
      </c>
      <c r="E78" s="18" t="n">
        <f aca="false">IF($C78="",0,ROUND($C78*$D78,0))</f>
        <v>0</v>
      </c>
      <c r="F78" s="22"/>
    </row>
    <row r="79" customFormat="false" ht="15" hidden="false" customHeight="false" outlineLevel="0" collapsed="false">
      <c r="A79" s="21"/>
      <c r="B79" s="22"/>
      <c r="C79" s="23"/>
      <c r="D79" s="19" t="str">
        <f aca="false">IF($A79="","",IFERROR(IF(INDEX(tblKasa[Tarih],ROW($A79)-ROW(tblKasa[[#Headers],[Tarih]])+1)=0,RaporTarihi,INDEX(tblKasa[Tarih],ROW($A79)-ROW(tblKasa[[#Headers],[Tarih]])+1))-$A79,RaporTarihi-$A79))</f>
        <v/>
      </c>
      <c r="E79" s="18" t="n">
        <f aca="false">IF($C79="",0,ROUND($C79*$D79,0))</f>
        <v>0</v>
      </c>
      <c r="F79" s="22"/>
    </row>
    <row r="80" customFormat="false" ht="15" hidden="false" customHeight="false" outlineLevel="0" collapsed="false">
      <c r="A80" s="21"/>
      <c r="B80" s="22"/>
      <c r="C80" s="23"/>
      <c r="D80" s="19" t="str">
        <f aca="false">IF($A80="","",IFERROR(IF(INDEX(tblKasa[Tarih],ROW($A80)-ROW(tblKasa[[#Headers],[Tarih]])+1)=0,RaporTarihi,INDEX(tblKasa[Tarih],ROW($A80)-ROW(tblKasa[[#Headers],[Tarih]])+1))-$A80,RaporTarihi-$A80))</f>
        <v/>
      </c>
      <c r="E80" s="18" t="n">
        <f aca="false">IF($C80="",0,ROUND($C80*$D80,0))</f>
        <v>0</v>
      </c>
      <c r="F80" s="22"/>
    </row>
    <row r="81" customFormat="false" ht="15" hidden="false" customHeight="false" outlineLevel="0" collapsed="false">
      <c r="A81" s="21"/>
      <c r="B81" s="22"/>
      <c r="C81" s="23"/>
      <c r="D81" s="19" t="str">
        <f aca="false">IF($A81="","",IFERROR(IF(INDEX(tblKasa[Tarih],ROW($A81)-ROW(tblKasa[[#Headers],[Tarih]])+1)=0,RaporTarihi,INDEX(tblKasa[Tarih],ROW($A81)-ROW(tblKasa[[#Headers],[Tarih]])+1))-$A81,RaporTarihi-$A81))</f>
        <v/>
      </c>
      <c r="E81" s="18" t="n">
        <f aca="false">IF($C81="",0,ROUND($C81*$D81,0))</f>
        <v>0</v>
      </c>
      <c r="F81" s="22"/>
    </row>
    <row r="82" customFormat="false" ht="15" hidden="false" customHeight="false" outlineLevel="0" collapsed="false">
      <c r="A82" s="21"/>
      <c r="B82" s="22"/>
      <c r="C82" s="23"/>
      <c r="D82" s="19" t="str">
        <f aca="false">IF($A82="","",IFERROR(IF(INDEX(tblKasa[Tarih],ROW($A82)-ROW(tblKasa[[#Headers],[Tarih]])+1)=0,RaporTarihi,INDEX(tblKasa[Tarih],ROW($A82)-ROW(tblKasa[[#Headers],[Tarih]])+1))-$A82,RaporTarihi-$A82))</f>
        <v/>
      </c>
      <c r="E82" s="18" t="n">
        <f aca="false">IF($C82="",0,ROUND($C82*$D82,0))</f>
        <v>0</v>
      </c>
      <c r="F82" s="22"/>
    </row>
    <row r="83" customFormat="false" ht="15" hidden="false" customHeight="false" outlineLevel="0" collapsed="false">
      <c r="A83" s="21"/>
      <c r="B83" s="22"/>
      <c r="C83" s="23"/>
      <c r="D83" s="19" t="str">
        <f aca="false">IF($A83="","",IFERROR(IF(INDEX(tblKasa[Tarih],ROW($A83)-ROW(tblKasa[[#Headers],[Tarih]])+1)=0,RaporTarihi,INDEX(tblKasa[Tarih],ROW($A83)-ROW(tblKasa[[#Headers],[Tarih]])+1))-$A83,RaporTarihi-$A83))</f>
        <v/>
      </c>
      <c r="E83" s="18" t="n">
        <f aca="false">IF($C83="",0,ROUND($C83*$D83,0))</f>
        <v>0</v>
      </c>
      <c r="F83" s="22"/>
    </row>
    <row r="84" customFormat="false" ht="15" hidden="false" customHeight="false" outlineLevel="0" collapsed="false">
      <c r="A84" s="21"/>
      <c r="B84" s="22"/>
      <c r="C84" s="23"/>
      <c r="D84" s="19" t="str">
        <f aca="false">IF($A84="","",IFERROR(IF(INDEX(tblKasa[Tarih],ROW($A84)-ROW(tblKasa[[#Headers],[Tarih]])+1)=0,RaporTarihi,INDEX(tblKasa[Tarih],ROW($A84)-ROW(tblKasa[[#Headers],[Tarih]])+1))-$A84,RaporTarihi-$A84))</f>
        <v/>
      </c>
      <c r="E84" s="18" t="n">
        <f aca="false">IF($C84="",0,ROUND($C84*$D84,0))</f>
        <v>0</v>
      </c>
      <c r="F84" s="22"/>
    </row>
    <row r="85" customFormat="false" ht="15" hidden="false" customHeight="false" outlineLevel="0" collapsed="false">
      <c r="A85" s="21"/>
      <c r="B85" s="22"/>
      <c r="C85" s="23"/>
      <c r="D85" s="19" t="str">
        <f aca="false">IF($A85="","",IFERROR(IF(INDEX(tblKasa[Tarih],ROW($A85)-ROW(tblKasa[[#Headers],[Tarih]])+1)=0,RaporTarihi,INDEX(tblKasa[Tarih],ROW($A85)-ROW(tblKasa[[#Headers],[Tarih]])+1))-$A85,RaporTarihi-$A85))</f>
        <v/>
      </c>
      <c r="E85" s="18" t="n">
        <f aca="false">IF($C85="",0,ROUND($C85*$D85,0))</f>
        <v>0</v>
      </c>
      <c r="F85" s="22"/>
    </row>
    <row r="86" customFormat="false" ht="15" hidden="false" customHeight="false" outlineLevel="0" collapsed="false">
      <c r="A86" s="21"/>
      <c r="B86" s="22"/>
      <c r="C86" s="23"/>
      <c r="D86" s="19" t="str">
        <f aca="false">IF($A86="","",IFERROR(IF(INDEX(tblKasa[Tarih],ROW($A86)-ROW(tblKasa[[#Headers],[Tarih]])+1)=0,RaporTarihi,INDEX(tblKasa[Tarih],ROW($A86)-ROW(tblKasa[[#Headers],[Tarih]])+1))-$A86,RaporTarihi-$A86))</f>
        <v/>
      </c>
      <c r="E86" s="18" t="n">
        <f aca="false">IF($C86="",0,ROUND($C86*$D86,0))</f>
        <v>0</v>
      </c>
      <c r="F86" s="22"/>
    </row>
    <row r="87" customFormat="false" ht="15" hidden="false" customHeight="false" outlineLevel="0" collapsed="false">
      <c r="A87" s="21"/>
      <c r="B87" s="22"/>
      <c r="C87" s="23"/>
      <c r="D87" s="19" t="str">
        <f aca="false">IF($A87="","",IFERROR(IF(INDEX(tblKasa[Tarih],ROW($A87)-ROW(tblKasa[[#Headers],[Tarih]])+1)=0,RaporTarihi,INDEX(tblKasa[Tarih],ROW($A87)-ROW(tblKasa[[#Headers],[Tarih]])+1))-$A87,RaporTarihi-$A87))</f>
        <v/>
      </c>
      <c r="E87" s="18" t="n">
        <f aca="false">IF($C87="",0,ROUND($C87*$D87,0))</f>
        <v>0</v>
      </c>
      <c r="F87" s="22"/>
    </row>
    <row r="88" customFormat="false" ht="15" hidden="false" customHeight="false" outlineLevel="0" collapsed="false">
      <c r="A88" s="21"/>
      <c r="B88" s="22"/>
      <c r="C88" s="23"/>
      <c r="D88" s="19" t="str">
        <f aca="false">IF($A88="","",IFERROR(IF(INDEX(tblKasa[Tarih],ROW($A88)-ROW(tblKasa[[#Headers],[Tarih]])+1)=0,RaporTarihi,INDEX(tblKasa[Tarih],ROW($A88)-ROW(tblKasa[[#Headers],[Tarih]])+1))-$A88,RaporTarihi-$A88))</f>
        <v/>
      </c>
      <c r="E88" s="18" t="n">
        <f aca="false">IF($C88="",0,ROUND($C88*$D88,0))</f>
        <v>0</v>
      </c>
      <c r="F88" s="22"/>
    </row>
    <row r="89" customFormat="false" ht="15" hidden="false" customHeight="false" outlineLevel="0" collapsed="false">
      <c r="A89" s="21"/>
      <c r="B89" s="22"/>
      <c r="C89" s="23"/>
      <c r="D89" s="19" t="str">
        <f aca="false">IF($A89="","",IFERROR(IF(INDEX(tblKasa[Tarih],ROW($A89)-ROW(tblKasa[[#Headers],[Tarih]])+1)=0,RaporTarihi,INDEX(tblKasa[Tarih],ROW($A89)-ROW(tblKasa[[#Headers],[Tarih]])+1))-$A89,RaporTarihi-$A89))</f>
        <v/>
      </c>
      <c r="E89" s="18" t="n">
        <f aca="false">IF($C89="",0,ROUND($C89*$D89,0))</f>
        <v>0</v>
      </c>
      <c r="F89" s="22"/>
    </row>
    <row r="90" customFormat="false" ht="15" hidden="false" customHeight="false" outlineLevel="0" collapsed="false">
      <c r="A90" s="21"/>
      <c r="B90" s="22"/>
      <c r="C90" s="23"/>
      <c r="D90" s="19" t="str">
        <f aca="false">IF($A90="","",IFERROR(IF(INDEX(tblKasa[Tarih],ROW($A90)-ROW(tblKasa[[#Headers],[Tarih]])+1)=0,RaporTarihi,INDEX(tblKasa[Tarih],ROW($A90)-ROW(tblKasa[[#Headers],[Tarih]])+1))-$A90,RaporTarihi-$A90))</f>
        <v/>
      </c>
      <c r="E90" s="18" t="n">
        <f aca="false">IF($C90="",0,ROUND($C90*$D90,0))</f>
        <v>0</v>
      </c>
      <c r="F90" s="22"/>
    </row>
    <row r="91" customFormat="false" ht="15" hidden="false" customHeight="false" outlineLevel="0" collapsed="false">
      <c r="A91" s="21"/>
      <c r="B91" s="22"/>
      <c r="C91" s="23"/>
      <c r="D91" s="19" t="str">
        <f aca="false">IF($A91="","",IFERROR(IF(INDEX(tblKasa[Tarih],ROW($A91)-ROW(tblKasa[[#Headers],[Tarih]])+1)=0,RaporTarihi,INDEX(tblKasa[Tarih],ROW($A91)-ROW(tblKasa[[#Headers],[Tarih]])+1))-$A91,RaporTarihi-$A91))</f>
        <v/>
      </c>
      <c r="E91" s="18" t="n">
        <f aca="false">IF($C91="",0,ROUND($C91*$D91,0))</f>
        <v>0</v>
      </c>
      <c r="F91" s="22"/>
    </row>
    <row r="92" customFormat="false" ht="15" hidden="false" customHeight="false" outlineLevel="0" collapsed="false">
      <c r="A92" s="21"/>
      <c r="B92" s="22"/>
      <c r="C92" s="23"/>
      <c r="D92" s="19" t="str">
        <f aca="false">IF($A92="","",IFERROR(IF(INDEX(tblKasa[Tarih],ROW($A92)-ROW(tblKasa[[#Headers],[Tarih]])+1)=0,RaporTarihi,INDEX(tblKasa[Tarih],ROW($A92)-ROW(tblKasa[[#Headers],[Tarih]])+1))-$A92,RaporTarihi-$A92))</f>
        <v/>
      </c>
      <c r="E92" s="18" t="n">
        <f aca="false">IF($C92="",0,ROUND($C92*$D92,0))</f>
        <v>0</v>
      </c>
      <c r="F92" s="22"/>
    </row>
    <row r="93" customFormat="false" ht="15" hidden="false" customHeight="false" outlineLevel="0" collapsed="false">
      <c r="A93" s="21"/>
      <c r="B93" s="22"/>
      <c r="C93" s="23"/>
      <c r="D93" s="19" t="str">
        <f aca="false">IF($A93="","",IFERROR(IF(INDEX(tblKasa[Tarih],ROW($A93)-ROW(tblKasa[[#Headers],[Tarih]])+1)=0,RaporTarihi,INDEX(tblKasa[Tarih],ROW($A93)-ROW(tblKasa[[#Headers],[Tarih]])+1))-$A93,RaporTarihi-$A93))</f>
        <v/>
      </c>
      <c r="E93" s="18" t="n">
        <f aca="false">IF($C93="",0,ROUND($C93*$D93,0))</f>
        <v>0</v>
      </c>
      <c r="F93" s="22"/>
    </row>
    <row r="94" customFormat="false" ht="15" hidden="false" customHeight="false" outlineLevel="0" collapsed="false">
      <c r="A94" s="21"/>
      <c r="B94" s="22"/>
      <c r="C94" s="23"/>
      <c r="D94" s="19" t="str">
        <f aca="false">IF($A94="","",IFERROR(IF(INDEX(tblKasa[Tarih],ROW($A94)-ROW(tblKasa[[#Headers],[Tarih]])+1)=0,RaporTarihi,INDEX(tblKasa[Tarih],ROW($A94)-ROW(tblKasa[[#Headers],[Tarih]])+1))-$A94,RaporTarihi-$A94))</f>
        <v/>
      </c>
      <c r="E94" s="18" t="n">
        <f aca="false">IF($C94="",0,ROUND($C94*$D94,0))</f>
        <v>0</v>
      </c>
      <c r="F94" s="22"/>
    </row>
    <row r="95" customFormat="false" ht="15" hidden="false" customHeight="false" outlineLevel="0" collapsed="false">
      <c r="A95" s="21"/>
      <c r="B95" s="22"/>
      <c r="C95" s="23"/>
      <c r="D95" s="19" t="str">
        <f aca="false">IF($A95="","",IFERROR(IF(INDEX(tblKasa[Tarih],ROW($A95)-ROW(tblKasa[[#Headers],[Tarih]])+1)=0,RaporTarihi,INDEX(tblKasa[Tarih],ROW($A95)-ROW(tblKasa[[#Headers],[Tarih]])+1))-$A95,RaporTarihi-$A95))</f>
        <v/>
      </c>
      <c r="E95" s="18" t="n">
        <f aca="false">IF($C95="",0,ROUND($C95*$D95,0))</f>
        <v>0</v>
      </c>
      <c r="F95" s="22"/>
    </row>
    <row r="96" customFormat="false" ht="15" hidden="false" customHeight="false" outlineLevel="0" collapsed="false">
      <c r="A96" s="21"/>
      <c r="B96" s="22"/>
      <c r="C96" s="23"/>
      <c r="D96" s="19" t="str">
        <f aca="false">IF($A96="","",IFERROR(IF(INDEX(tblKasa[Tarih],ROW($A96)-ROW(tblKasa[[#Headers],[Tarih]])+1)=0,RaporTarihi,INDEX(tblKasa[Tarih],ROW($A96)-ROW(tblKasa[[#Headers],[Tarih]])+1))-$A96,RaporTarihi-$A96))</f>
        <v/>
      </c>
      <c r="E96" s="18" t="n">
        <f aca="false">IF($C96="",0,ROUND($C96*$D96,0))</f>
        <v>0</v>
      </c>
      <c r="F96" s="22"/>
    </row>
    <row r="97" customFormat="false" ht="15" hidden="false" customHeight="false" outlineLevel="0" collapsed="false">
      <c r="A97" s="21"/>
      <c r="B97" s="22"/>
      <c r="C97" s="23"/>
      <c r="D97" s="19" t="str">
        <f aca="false">IF($A97="","",IFERROR(IF(INDEX(tblKasa[Tarih],ROW($A97)-ROW(tblKasa[[#Headers],[Tarih]])+1)=0,RaporTarihi,INDEX(tblKasa[Tarih],ROW($A97)-ROW(tblKasa[[#Headers],[Tarih]])+1))-$A97,RaporTarihi-$A97))</f>
        <v/>
      </c>
      <c r="E97" s="18" t="n">
        <f aca="false">IF($C97="",0,ROUND($C97*$D97,0))</f>
        <v>0</v>
      </c>
      <c r="F97" s="22"/>
    </row>
    <row r="98" customFormat="false" ht="15" hidden="false" customHeight="false" outlineLevel="0" collapsed="false">
      <c r="A98" s="21"/>
      <c r="B98" s="22"/>
      <c r="C98" s="23"/>
      <c r="D98" s="19" t="str">
        <f aca="false">IF($A98="","",IFERROR(IF(INDEX(tblKasa[Tarih],ROW($A98)-ROW(tblKasa[[#Headers],[Tarih]])+1)=0,RaporTarihi,INDEX(tblKasa[Tarih],ROW($A98)-ROW(tblKasa[[#Headers],[Tarih]])+1))-$A98,RaporTarihi-$A98))</f>
        <v/>
      </c>
      <c r="E98" s="18" t="n">
        <f aca="false">IF($C98="",0,ROUND($C98*$D98,0))</f>
        <v>0</v>
      </c>
      <c r="F98" s="22"/>
    </row>
    <row r="99" customFormat="false" ht="15" hidden="false" customHeight="false" outlineLevel="0" collapsed="false">
      <c r="A99" s="21"/>
      <c r="B99" s="22"/>
      <c r="C99" s="23"/>
      <c r="D99" s="19" t="str">
        <f aca="false">IF($A99="","",IFERROR(IF(INDEX(tblKasa[Tarih],ROW($A99)-ROW(tblKasa[[#Headers],[Tarih]])+1)=0,RaporTarihi,INDEX(tblKasa[Tarih],ROW($A99)-ROW(tblKasa[[#Headers],[Tarih]])+1))-$A99,RaporTarihi-$A99))</f>
        <v/>
      </c>
      <c r="E99" s="18" t="n">
        <f aca="false">IF($C99="",0,ROUND($C99*$D99,0))</f>
        <v>0</v>
      </c>
      <c r="F99" s="22"/>
    </row>
    <row r="100" customFormat="false" ht="15" hidden="false" customHeight="false" outlineLevel="0" collapsed="false">
      <c r="A100" s="21"/>
      <c r="B100" s="22"/>
      <c r="C100" s="23"/>
      <c r="D100" s="19" t="str">
        <f aca="false">IF($A100="","",IFERROR(IF(INDEX(tblKasa[Tarih],ROW($A100)-ROW(tblKasa[[#Headers],[Tarih]])+1)=0,RaporTarihi,INDEX(tblKasa[Tarih],ROW($A100)-ROW(tblKasa[[#Headers],[Tarih]])+1))-$A100,RaporTarihi-$A100))</f>
        <v/>
      </c>
      <c r="E100" s="18" t="n">
        <f aca="false">IF($C100="",0,ROUND($C100*$D100,0))</f>
        <v>0</v>
      </c>
      <c r="F100" s="22"/>
    </row>
    <row r="101" customFormat="false" ht="15" hidden="false" customHeight="false" outlineLevel="0" collapsed="false">
      <c r="A101" s="21"/>
      <c r="B101" s="22"/>
      <c r="C101" s="23"/>
      <c r="D101" s="19" t="str">
        <f aca="false">IF($A101="","",IFERROR(IF(INDEX(tblKasa[Tarih],ROW($A101)-ROW(tblKasa[[#Headers],[Tarih]])+1)=0,RaporTarihi,INDEX(tblKasa[Tarih],ROW($A101)-ROW(tblKasa[[#Headers],[Tarih]])+1))-$A101,RaporTarihi-$A101))</f>
        <v/>
      </c>
      <c r="E101" s="18" t="n">
        <f aca="false">IF($C101="",0,ROUND($C101*$D101,0))</f>
        <v>0</v>
      </c>
      <c r="F101" s="22"/>
    </row>
    <row r="102" customFormat="false" ht="15" hidden="false" customHeight="false" outlineLevel="0" collapsed="false">
      <c r="A102" s="21"/>
      <c r="B102" s="22"/>
      <c r="C102" s="23"/>
      <c r="D102" s="19" t="str">
        <f aca="false">IF($A102="","",IFERROR(IF(INDEX(tblKasa[Tarih],ROW($A102)-ROW(tblKasa[[#Headers],[Tarih]])+1)=0,RaporTarihi,INDEX(tblKasa[Tarih],ROW($A102)-ROW(tblKasa[[#Headers],[Tarih]])+1))-$A102,RaporTarihi-$A102))</f>
        <v/>
      </c>
      <c r="E102" s="18" t="n">
        <f aca="false">IF($C102="",0,ROUND($C102*$D102,0))</f>
        <v>0</v>
      </c>
      <c r="F102" s="22"/>
    </row>
    <row r="103" customFormat="false" ht="15" hidden="false" customHeight="false" outlineLevel="0" collapsed="false">
      <c r="A103" s="21"/>
      <c r="B103" s="22"/>
      <c r="C103" s="23"/>
      <c r="D103" s="19" t="str">
        <f aca="false">IF($A103="","",IFERROR(IF(INDEX(tblKasa[Tarih],ROW($A103)-ROW(tblKasa[[#Headers],[Tarih]])+1)=0,RaporTarihi,INDEX(tblKasa[Tarih],ROW($A103)-ROW(tblKasa[[#Headers],[Tarih]])+1))-$A103,RaporTarihi-$A103))</f>
        <v/>
      </c>
      <c r="E103" s="18" t="n">
        <f aca="false">IF($C103="",0,ROUND($C103*$D103,0))</f>
        <v>0</v>
      </c>
      <c r="F103" s="22"/>
    </row>
    <row r="104" customFormat="false" ht="15" hidden="false" customHeight="false" outlineLevel="0" collapsed="false">
      <c r="A104" s="21"/>
      <c r="B104" s="22"/>
      <c r="C104" s="23"/>
      <c r="D104" s="19" t="str">
        <f aca="false">IF($A104="","",IFERROR(IF(INDEX(tblKasa[Tarih],ROW($A104)-ROW(tblKasa[[#Headers],[Tarih]])+1)=0,RaporTarihi,INDEX(tblKasa[Tarih],ROW($A104)-ROW(tblKasa[[#Headers],[Tarih]])+1))-$A104,RaporTarihi-$A104))</f>
        <v/>
      </c>
      <c r="E104" s="18" t="n">
        <f aca="false">IF($C104="",0,ROUND($C104*$D104,0))</f>
        <v>0</v>
      </c>
      <c r="F104" s="22"/>
    </row>
    <row r="105" customFormat="false" ht="15" hidden="false" customHeight="false" outlineLevel="0" collapsed="false">
      <c r="A105" s="21"/>
      <c r="B105" s="22"/>
      <c r="C105" s="23"/>
      <c r="D105" s="19" t="str">
        <f aca="false">IF($A105="","",IFERROR(IF(INDEX(tblKasa[Tarih],ROW($A105)-ROW(tblKasa[[#Headers],[Tarih]])+1)=0,RaporTarihi,INDEX(tblKasa[Tarih],ROW($A105)-ROW(tblKasa[[#Headers],[Tarih]])+1))-$A105,RaporTarihi-$A105))</f>
        <v/>
      </c>
      <c r="E105" s="18" t="n">
        <f aca="false">IF($C105="",0,ROUND($C105*$D105,0))</f>
        <v>0</v>
      </c>
      <c r="F105" s="22"/>
    </row>
    <row r="106" customFormat="false" ht="15" hidden="false" customHeight="false" outlineLevel="0" collapsed="false">
      <c r="A106" s="21"/>
      <c r="B106" s="22"/>
      <c r="C106" s="23"/>
      <c r="D106" s="19" t="str">
        <f aca="false">IF($A106="","",IFERROR(IF(INDEX(tblKasa[Tarih],ROW($A106)-ROW(tblKasa[[#Headers],[Tarih]])+1)=0,RaporTarihi,INDEX(tblKasa[Tarih],ROW($A106)-ROW(tblKasa[[#Headers],[Tarih]])+1))-$A106,RaporTarihi-$A106))</f>
        <v/>
      </c>
      <c r="E106" s="18" t="n">
        <f aca="false">IF($C106="",0,ROUND($C106*$D106,0))</f>
        <v>0</v>
      </c>
      <c r="F106" s="22"/>
    </row>
    <row r="107" customFormat="false" ht="15" hidden="false" customHeight="false" outlineLevel="0" collapsed="false">
      <c r="A107" s="21"/>
      <c r="B107" s="22"/>
      <c r="C107" s="23"/>
      <c r="D107" s="19" t="str">
        <f aca="false">IF($A107="","",IFERROR(IF(INDEX(tblKasa[Tarih],ROW($A107)-ROW(tblKasa[[#Headers],[Tarih]])+1)=0,RaporTarihi,INDEX(tblKasa[Tarih],ROW($A107)-ROW(tblKasa[[#Headers],[Tarih]])+1))-$A107,RaporTarihi-$A107))</f>
        <v/>
      </c>
      <c r="E107" s="18" t="n">
        <f aca="false">IF($C107="",0,ROUND($C107*$D107,0))</f>
        <v>0</v>
      </c>
      <c r="F107" s="22"/>
    </row>
    <row r="108" customFormat="false" ht="15" hidden="false" customHeight="false" outlineLevel="0" collapsed="false">
      <c r="A108" s="21"/>
      <c r="B108" s="22"/>
      <c r="C108" s="23"/>
      <c r="D108" s="19" t="str">
        <f aca="false">IF($A108="","",IFERROR(IF(INDEX(tblKasa[Tarih],ROW($A108)-ROW(tblKasa[[#Headers],[Tarih]])+1)=0,RaporTarihi,INDEX(tblKasa[Tarih],ROW($A108)-ROW(tblKasa[[#Headers],[Tarih]])+1))-$A108,RaporTarihi-$A108))</f>
        <v/>
      </c>
      <c r="E108" s="18" t="n">
        <f aca="false">IF($C108="",0,ROUND($C108*$D108,0))</f>
        <v>0</v>
      </c>
      <c r="F108" s="22"/>
    </row>
    <row r="109" customFormat="false" ht="15" hidden="false" customHeight="false" outlineLevel="0" collapsed="false">
      <c r="A109" s="21"/>
      <c r="B109" s="22"/>
      <c r="C109" s="23"/>
      <c r="D109" s="19" t="str">
        <f aca="false">IF($A109="","",IFERROR(IF(INDEX(tblKasa[Tarih],ROW($A109)-ROW(tblKasa[[#Headers],[Tarih]])+1)=0,RaporTarihi,INDEX(tblKasa[Tarih],ROW($A109)-ROW(tblKasa[[#Headers],[Tarih]])+1))-$A109,RaporTarihi-$A109))</f>
        <v/>
      </c>
      <c r="E109" s="18" t="n">
        <f aca="false">IF($C109="",0,ROUND($C109*$D109,0))</f>
        <v>0</v>
      </c>
      <c r="F109" s="22"/>
    </row>
    <row r="110" customFormat="false" ht="15" hidden="false" customHeight="false" outlineLevel="0" collapsed="false">
      <c r="A110" s="21"/>
      <c r="B110" s="22"/>
      <c r="C110" s="23"/>
      <c r="D110" s="19" t="str">
        <f aca="false">IF($A110="","",IFERROR(IF(INDEX(tblKasa[Tarih],ROW($A110)-ROW(tblKasa[[#Headers],[Tarih]])+1)=0,RaporTarihi,INDEX(tblKasa[Tarih],ROW($A110)-ROW(tblKasa[[#Headers],[Tarih]])+1))-$A110,RaporTarihi-$A110))</f>
        <v/>
      </c>
      <c r="E110" s="18" t="n">
        <f aca="false">IF($C110="",0,ROUND($C110*$D110,0))</f>
        <v>0</v>
      </c>
      <c r="F110" s="22"/>
    </row>
    <row r="111" customFormat="false" ht="15" hidden="false" customHeight="false" outlineLevel="0" collapsed="false">
      <c r="A111" s="21"/>
      <c r="B111" s="22"/>
      <c r="C111" s="23"/>
      <c r="D111" s="19" t="str">
        <f aca="false">IF($A111="","",IFERROR(IF(INDEX(tblKasa[Tarih],ROW($A111)-ROW(tblKasa[[#Headers],[Tarih]])+1)=0,RaporTarihi,INDEX(tblKasa[Tarih],ROW($A111)-ROW(tblKasa[[#Headers],[Tarih]])+1))-$A111,RaporTarihi-$A111))</f>
        <v/>
      </c>
      <c r="E111" s="18" t="n">
        <f aca="false">IF($C111="",0,ROUND($C111*$D111,0))</f>
        <v>0</v>
      </c>
      <c r="F111" s="22"/>
    </row>
    <row r="112" customFormat="false" ht="15" hidden="false" customHeight="false" outlineLevel="0" collapsed="false">
      <c r="A112" s="21"/>
      <c r="B112" s="22"/>
      <c r="C112" s="23"/>
      <c r="D112" s="19" t="str">
        <f aca="false">IF($A112="","",IFERROR(IF(INDEX(tblKasa[Tarih],ROW($A112)-ROW(tblKasa[[#Headers],[Tarih]])+1)=0,RaporTarihi,INDEX(tblKasa[Tarih],ROW($A112)-ROW(tblKasa[[#Headers],[Tarih]])+1))-$A112,RaporTarihi-$A112))</f>
        <v/>
      </c>
      <c r="E112" s="18" t="n">
        <f aca="false">IF($C112="",0,ROUND($C112*$D112,0))</f>
        <v>0</v>
      </c>
      <c r="F112" s="22"/>
    </row>
    <row r="113" customFormat="false" ht="15" hidden="false" customHeight="false" outlineLevel="0" collapsed="false">
      <c r="A113" s="21"/>
      <c r="B113" s="22"/>
      <c r="C113" s="23"/>
      <c r="D113" s="19" t="str">
        <f aca="false">IF($A113="","",IFERROR(IF(INDEX(tblKasa[Tarih],ROW($A113)-ROW(tblKasa[[#Headers],[Tarih]])+1)=0,RaporTarihi,INDEX(tblKasa[Tarih],ROW($A113)-ROW(tblKasa[[#Headers],[Tarih]])+1))-$A113,RaporTarihi-$A113))</f>
        <v/>
      </c>
      <c r="E113" s="18" t="n">
        <f aca="false">IF($C113="",0,ROUND($C113*$D113,0))</f>
        <v>0</v>
      </c>
      <c r="F113" s="22"/>
    </row>
    <row r="114" customFormat="false" ht="15" hidden="false" customHeight="false" outlineLevel="0" collapsed="false">
      <c r="A114" s="21"/>
      <c r="B114" s="22"/>
      <c r="C114" s="23"/>
      <c r="D114" s="19" t="str">
        <f aca="false">IF($A114="","",IFERROR(IF(INDEX(tblKasa[Tarih],ROW($A114)-ROW(tblKasa[[#Headers],[Tarih]])+1)=0,RaporTarihi,INDEX(tblKasa[Tarih],ROW($A114)-ROW(tblKasa[[#Headers],[Tarih]])+1))-$A114,RaporTarihi-$A114))</f>
        <v/>
      </c>
      <c r="E114" s="18" t="n">
        <f aca="false">IF($C114="",0,ROUND($C114*$D114,0))</f>
        <v>0</v>
      </c>
      <c r="F114" s="22"/>
    </row>
    <row r="115" customFormat="false" ht="15" hidden="false" customHeight="false" outlineLevel="0" collapsed="false">
      <c r="A115" s="21"/>
      <c r="B115" s="22"/>
      <c r="C115" s="23"/>
      <c r="D115" s="19" t="str">
        <f aca="false">IF($A115="","",IFERROR(IF(INDEX(tblKasa[Tarih],ROW($A115)-ROW(tblKasa[[#Headers],[Tarih]])+1)=0,RaporTarihi,INDEX(tblKasa[Tarih],ROW($A115)-ROW(tblKasa[[#Headers],[Tarih]])+1))-$A115,RaporTarihi-$A115))</f>
        <v/>
      </c>
      <c r="E115" s="18" t="n">
        <f aca="false">IF($C115="",0,ROUND($C115*$D115,0))</f>
        <v>0</v>
      </c>
      <c r="F115" s="22"/>
    </row>
    <row r="116" customFormat="false" ht="15" hidden="false" customHeight="false" outlineLevel="0" collapsed="false">
      <c r="A116" s="21"/>
      <c r="B116" s="22"/>
      <c r="C116" s="23"/>
      <c r="D116" s="19" t="str">
        <f aca="false">IF($A116="","",IFERROR(IF(INDEX(tblKasa[Tarih],ROW($A116)-ROW(tblKasa[[#Headers],[Tarih]])+1)=0,RaporTarihi,INDEX(tblKasa[Tarih],ROW($A116)-ROW(tblKasa[[#Headers],[Tarih]])+1))-$A116,RaporTarihi-$A116))</f>
        <v/>
      </c>
      <c r="E116" s="18" t="n">
        <f aca="false">IF($C116="",0,ROUND($C116*$D116,0))</f>
        <v>0</v>
      </c>
      <c r="F116" s="22"/>
    </row>
    <row r="117" customFormat="false" ht="15" hidden="false" customHeight="false" outlineLevel="0" collapsed="false">
      <c r="A117" s="21"/>
      <c r="B117" s="22"/>
      <c r="C117" s="23"/>
      <c r="D117" s="19" t="str">
        <f aca="false">IF($A117="","",IFERROR(IF(INDEX(tblKasa[Tarih],ROW($A117)-ROW(tblKasa[[#Headers],[Tarih]])+1)=0,RaporTarihi,INDEX(tblKasa[Tarih],ROW($A117)-ROW(tblKasa[[#Headers],[Tarih]])+1))-$A117,RaporTarihi-$A117))</f>
        <v/>
      </c>
      <c r="E117" s="18" t="n">
        <f aca="false">IF($C117="",0,ROUND($C117*$D117,0))</f>
        <v>0</v>
      </c>
      <c r="F117" s="22"/>
    </row>
    <row r="118" customFormat="false" ht="15" hidden="false" customHeight="false" outlineLevel="0" collapsed="false">
      <c r="A118" s="21"/>
      <c r="B118" s="22"/>
      <c r="C118" s="23"/>
      <c r="D118" s="19" t="str">
        <f aca="false">IF($A118="","",IFERROR(IF(INDEX(tblKasa[Tarih],ROW($A118)-ROW(tblKasa[[#Headers],[Tarih]])+1)=0,RaporTarihi,INDEX(tblKasa[Tarih],ROW($A118)-ROW(tblKasa[[#Headers],[Tarih]])+1))-$A118,RaporTarihi-$A118))</f>
        <v/>
      </c>
      <c r="E118" s="18" t="n">
        <f aca="false">IF($C118="",0,ROUND($C118*$D118,0))</f>
        <v>0</v>
      </c>
      <c r="F118" s="22"/>
    </row>
    <row r="119" customFormat="false" ht="15" hidden="false" customHeight="false" outlineLevel="0" collapsed="false">
      <c r="A119" s="21"/>
      <c r="B119" s="22"/>
      <c r="C119" s="23"/>
      <c r="D119" s="19" t="str">
        <f aca="false">IF($A119="","",IFERROR(IF(INDEX(tblKasa[Tarih],ROW($A119)-ROW(tblKasa[[#Headers],[Tarih]])+1)=0,RaporTarihi,INDEX(tblKasa[Tarih],ROW($A119)-ROW(tblKasa[[#Headers],[Tarih]])+1))-$A119,RaporTarihi-$A119))</f>
        <v/>
      </c>
      <c r="E119" s="18" t="n">
        <f aca="false">IF($C119="",0,ROUND($C119*$D119,0))</f>
        <v>0</v>
      </c>
      <c r="F119" s="22"/>
    </row>
    <row r="120" customFormat="false" ht="15" hidden="false" customHeight="false" outlineLevel="0" collapsed="false">
      <c r="A120" s="21"/>
      <c r="B120" s="22"/>
      <c r="C120" s="23"/>
      <c r="D120" s="19" t="str">
        <f aca="false">IF($A120="","",IFERROR(IF(INDEX(tblKasa[Tarih],ROW($A120)-ROW(tblKasa[[#Headers],[Tarih]])+1)=0,RaporTarihi,INDEX(tblKasa[Tarih],ROW($A120)-ROW(tblKasa[[#Headers],[Tarih]])+1))-$A120,RaporTarihi-$A120))</f>
        <v/>
      </c>
      <c r="E120" s="18" t="n">
        <f aca="false">IF($C120="",0,ROUND($C120*$D120,0))</f>
        <v>0</v>
      </c>
      <c r="F120" s="22"/>
    </row>
    <row r="121" customFormat="false" ht="15" hidden="false" customHeight="false" outlineLevel="0" collapsed="false">
      <c r="A121" s="21"/>
      <c r="B121" s="22"/>
      <c r="C121" s="23"/>
      <c r="D121" s="19" t="str">
        <f aca="false">IF($A121="","",IFERROR(IF(INDEX(tblKasa[Tarih],ROW($A121)-ROW(tblKasa[[#Headers],[Tarih]])+1)=0,RaporTarihi,INDEX(tblKasa[Tarih],ROW($A121)-ROW(tblKasa[[#Headers],[Tarih]])+1))-$A121,RaporTarihi-$A121))</f>
        <v/>
      </c>
      <c r="E121" s="18" t="n">
        <f aca="false">IF($C121="",0,ROUND($C121*$D121,0))</f>
        <v>0</v>
      </c>
      <c r="F121" s="22"/>
    </row>
    <row r="122" customFormat="false" ht="15" hidden="false" customHeight="false" outlineLevel="0" collapsed="false">
      <c r="A122" s="21"/>
      <c r="B122" s="22"/>
      <c r="C122" s="23"/>
      <c r="D122" s="19" t="str">
        <f aca="false">IF($A122="","",IFERROR(IF(INDEX(tblKasa[Tarih],ROW($A122)-ROW(tblKasa[[#Headers],[Tarih]])+1)=0,RaporTarihi,INDEX(tblKasa[Tarih],ROW($A122)-ROW(tblKasa[[#Headers],[Tarih]])+1))-$A122,RaporTarihi-$A122))</f>
        <v/>
      </c>
      <c r="E122" s="18" t="n">
        <f aca="false">IF($C122="",0,ROUND($C122*$D122,0))</f>
        <v>0</v>
      </c>
      <c r="F122" s="22"/>
    </row>
    <row r="123" customFormat="false" ht="15" hidden="false" customHeight="false" outlineLevel="0" collapsed="false">
      <c r="A123" s="21"/>
      <c r="B123" s="22"/>
      <c r="C123" s="23"/>
      <c r="D123" s="19" t="str">
        <f aca="false">IF($A123="","",IFERROR(IF(INDEX(tblKasa[Tarih],ROW($A123)-ROW(tblKasa[[#Headers],[Tarih]])+1)=0,RaporTarihi,INDEX(tblKasa[Tarih],ROW($A123)-ROW(tblKasa[[#Headers],[Tarih]])+1))-$A123,RaporTarihi-$A123))</f>
        <v/>
      </c>
      <c r="E123" s="18" t="n">
        <f aca="false">IF($C123="",0,ROUND($C123*$D123,0))</f>
        <v>0</v>
      </c>
      <c r="F123" s="22"/>
    </row>
    <row r="124" customFormat="false" ht="15" hidden="false" customHeight="false" outlineLevel="0" collapsed="false">
      <c r="A124" s="21"/>
      <c r="B124" s="22"/>
      <c r="C124" s="23"/>
      <c r="D124" s="19" t="str">
        <f aca="false">IF($A124="","",IFERROR(IF(INDEX(tblKasa[Tarih],ROW($A124)-ROW(tblKasa[[#Headers],[Tarih]])+1)=0,RaporTarihi,INDEX(tblKasa[Tarih],ROW($A124)-ROW(tblKasa[[#Headers],[Tarih]])+1))-$A124,RaporTarihi-$A124))</f>
        <v/>
      </c>
      <c r="E124" s="18" t="n">
        <f aca="false">IF($C124="",0,ROUND($C124*$D124,0))</f>
        <v>0</v>
      </c>
      <c r="F124" s="22"/>
    </row>
    <row r="125" customFormat="false" ht="15" hidden="false" customHeight="false" outlineLevel="0" collapsed="false">
      <c r="A125" s="21"/>
      <c r="B125" s="22"/>
      <c r="C125" s="23"/>
      <c r="D125" s="19" t="str">
        <f aca="false">IF($A125="","",IFERROR(IF(INDEX(tblKasa[Tarih],ROW($A125)-ROW(tblKasa[[#Headers],[Tarih]])+1)=0,RaporTarihi,INDEX(tblKasa[Tarih],ROW($A125)-ROW(tblKasa[[#Headers],[Tarih]])+1))-$A125,RaporTarihi-$A125))</f>
        <v/>
      </c>
      <c r="E125" s="18" t="n">
        <f aca="false">IF($C125="",0,ROUND($C125*$D125,0))</f>
        <v>0</v>
      </c>
      <c r="F125" s="22"/>
    </row>
    <row r="126" customFormat="false" ht="15" hidden="false" customHeight="false" outlineLevel="0" collapsed="false">
      <c r="A126" s="21"/>
      <c r="B126" s="22"/>
      <c r="C126" s="23"/>
      <c r="D126" s="19" t="str">
        <f aca="false">IF($A126="","",IFERROR(IF(INDEX(tblKasa[Tarih],ROW($A126)-ROW(tblKasa[[#Headers],[Tarih]])+1)=0,RaporTarihi,INDEX(tblKasa[Tarih],ROW($A126)-ROW(tblKasa[[#Headers],[Tarih]])+1))-$A126,RaporTarihi-$A126))</f>
        <v/>
      </c>
      <c r="E126" s="18" t="n">
        <f aca="false">IF($C126="",0,ROUND($C126*$D126,0))</f>
        <v>0</v>
      </c>
      <c r="F126" s="22"/>
    </row>
    <row r="127" customFormat="false" ht="15" hidden="false" customHeight="false" outlineLevel="0" collapsed="false">
      <c r="A127" s="21"/>
      <c r="B127" s="22"/>
      <c r="C127" s="23"/>
      <c r="D127" s="19" t="str">
        <f aca="false">IF($A127="","",IFERROR(IF(INDEX(tblKasa[Tarih],ROW($A127)-ROW(tblKasa[[#Headers],[Tarih]])+1)=0,RaporTarihi,INDEX(tblKasa[Tarih],ROW($A127)-ROW(tblKasa[[#Headers],[Tarih]])+1))-$A127,RaporTarihi-$A127))</f>
        <v/>
      </c>
      <c r="E127" s="18" t="n">
        <f aca="false">IF($C127="",0,ROUND($C127*$D127,0))</f>
        <v>0</v>
      </c>
      <c r="F127" s="22"/>
    </row>
    <row r="128" customFormat="false" ht="15" hidden="false" customHeight="false" outlineLevel="0" collapsed="false">
      <c r="A128" s="21"/>
      <c r="B128" s="22"/>
      <c r="C128" s="23"/>
      <c r="D128" s="19" t="str">
        <f aca="false">IF($A128="","",IFERROR(IF(INDEX(tblKasa[Tarih],ROW($A128)-ROW(tblKasa[[#Headers],[Tarih]])+1)=0,RaporTarihi,INDEX(tblKasa[Tarih],ROW($A128)-ROW(tblKasa[[#Headers],[Tarih]])+1))-$A128,RaporTarihi-$A128))</f>
        <v/>
      </c>
      <c r="E128" s="18" t="n">
        <f aca="false">IF($C128="",0,ROUND($C128*$D128,0))</f>
        <v>0</v>
      </c>
      <c r="F128" s="22"/>
    </row>
    <row r="129" customFormat="false" ht="15" hidden="false" customHeight="false" outlineLevel="0" collapsed="false">
      <c r="A129" s="21"/>
      <c r="B129" s="22"/>
      <c r="C129" s="23"/>
      <c r="D129" s="19" t="str">
        <f aca="false">IF($A129="","",IFERROR(IF(INDEX(tblKasa[Tarih],ROW($A129)-ROW(tblKasa[[#Headers],[Tarih]])+1)=0,RaporTarihi,INDEX(tblKasa[Tarih],ROW($A129)-ROW(tblKasa[[#Headers],[Tarih]])+1))-$A129,RaporTarihi-$A129))</f>
        <v/>
      </c>
      <c r="E129" s="18" t="n">
        <f aca="false">IF($C129="",0,ROUND($C129*$D129,0))</f>
        <v>0</v>
      </c>
      <c r="F129" s="22"/>
    </row>
    <row r="130" customFormat="false" ht="15" hidden="false" customHeight="false" outlineLevel="0" collapsed="false">
      <c r="A130" s="21"/>
      <c r="B130" s="22"/>
      <c r="C130" s="23"/>
      <c r="D130" s="19" t="str">
        <f aca="false">IF($A130="","",IFERROR(IF(INDEX(tblKasa[Tarih],ROW($A130)-ROW(tblKasa[[#Headers],[Tarih]])+1)=0,RaporTarihi,INDEX(tblKasa[Tarih],ROW($A130)-ROW(tblKasa[[#Headers],[Tarih]])+1))-$A130,RaporTarihi-$A130))</f>
        <v/>
      </c>
      <c r="E130" s="18" t="n">
        <f aca="false">IF($C130="",0,ROUND($C130*$D130,0))</f>
        <v>0</v>
      </c>
      <c r="F130" s="22"/>
    </row>
    <row r="131" customFormat="false" ht="15" hidden="false" customHeight="false" outlineLevel="0" collapsed="false">
      <c r="A131" s="21"/>
      <c r="B131" s="22"/>
      <c r="C131" s="23"/>
      <c r="D131" s="19" t="str">
        <f aca="false">IF($A131="","",IFERROR(IF(INDEX(tblKasa[Tarih],ROW($A131)-ROW(tblKasa[[#Headers],[Tarih]])+1)=0,RaporTarihi,INDEX(tblKasa[Tarih],ROW($A131)-ROW(tblKasa[[#Headers],[Tarih]])+1))-$A131,RaporTarihi-$A131))</f>
        <v/>
      </c>
      <c r="E131" s="18" t="n">
        <f aca="false">IF($C131="",0,ROUND($C131*$D131,0))</f>
        <v>0</v>
      </c>
      <c r="F131" s="22"/>
    </row>
    <row r="132" customFormat="false" ht="15" hidden="false" customHeight="false" outlineLevel="0" collapsed="false">
      <c r="A132" s="21"/>
      <c r="B132" s="22"/>
      <c r="C132" s="23"/>
      <c r="D132" s="19" t="str">
        <f aca="false">IF($A132="","",IFERROR(IF(INDEX(tblKasa[Tarih],ROW($A132)-ROW(tblKasa[[#Headers],[Tarih]])+1)=0,RaporTarihi,INDEX(tblKasa[Tarih],ROW($A132)-ROW(tblKasa[[#Headers],[Tarih]])+1))-$A132,RaporTarihi-$A132))</f>
        <v/>
      </c>
      <c r="E132" s="18" t="n">
        <f aca="false">IF($C132="",0,ROUND($C132*$D132,0))</f>
        <v>0</v>
      </c>
      <c r="F132" s="22"/>
    </row>
    <row r="133" customFormat="false" ht="15" hidden="false" customHeight="false" outlineLevel="0" collapsed="false">
      <c r="A133" s="21"/>
      <c r="B133" s="22"/>
      <c r="C133" s="23"/>
      <c r="D133" s="19" t="str">
        <f aca="false">IF($A133="","",IFERROR(IF(INDEX(tblKasa[Tarih],ROW($A133)-ROW(tblKasa[[#Headers],[Tarih]])+1)=0,RaporTarihi,INDEX(tblKasa[Tarih],ROW($A133)-ROW(tblKasa[[#Headers],[Tarih]])+1))-$A133,RaporTarihi-$A133))</f>
        <v/>
      </c>
      <c r="E133" s="18" t="n">
        <f aca="false">IF($C133="",0,ROUND($C133*$D133,0))</f>
        <v>0</v>
      </c>
      <c r="F133" s="22"/>
    </row>
    <row r="134" customFormat="false" ht="15" hidden="false" customHeight="false" outlineLevel="0" collapsed="false">
      <c r="A134" s="21"/>
      <c r="B134" s="22"/>
      <c r="C134" s="23"/>
      <c r="D134" s="19" t="str">
        <f aca="false">IF($A134="","",IFERROR(IF(INDEX(tblKasa[Tarih],ROW($A134)-ROW(tblKasa[[#Headers],[Tarih]])+1)=0,RaporTarihi,INDEX(tblKasa[Tarih],ROW($A134)-ROW(tblKasa[[#Headers],[Tarih]])+1))-$A134,RaporTarihi-$A134))</f>
        <v/>
      </c>
      <c r="E134" s="18" t="n">
        <f aca="false">IF($C134="",0,ROUND($C134*$D134,0))</f>
        <v>0</v>
      </c>
      <c r="F134" s="22"/>
    </row>
    <row r="135" customFormat="false" ht="15" hidden="false" customHeight="false" outlineLevel="0" collapsed="false">
      <c r="A135" s="21"/>
      <c r="B135" s="22"/>
      <c r="C135" s="23"/>
      <c r="D135" s="19" t="str">
        <f aca="false">IF($A135="","",IFERROR(IF(INDEX(tblKasa[Tarih],ROW($A135)-ROW(tblKasa[[#Headers],[Tarih]])+1)=0,RaporTarihi,INDEX(tblKasa[Tarih],ROW($A135)-ROW(tblKasa[[#Headers],[Tarih]])+1))-$A135,RaporTarihi-$A135))</f>
        <v/>
      </c>
      <c r="E135" s="18" t="n">
        <f aca="false">IF($C135="",0,ROUND($C135*$D135,0))</f>
        <v>0</v>
      </c>
      <c r="F135" s="22"/>
    </row>
    <row r="136" customFormat="false" ht="15" hidden="false" customHeight="false" outlineLevel="0" collapsed="false">
      <c r="A136" s="21"/>
      <c r="B136" s="22"/>
      <c r="C136" s="23"/>
      <c r="D136" s="19" t="str">
        <f aca="false">IF($A136="","",IFERROR(IF(INDEX(tblKasa[Tarih],ROW($A136)-ROW(tblKasa[[#Headers],[Tarih]])+1)=0,RaporTarihi,INDEX(tblKasa[Tarih],ROW($A136)-ROW(tblKasa[[#Headers],[Tarih]])+1))-$A136,RaporTarihi-$A136))</f>
        <v/>
      </c>
      <c r="E136" s="18" t="n">
        <f aca="false">IF($C136="",0,ROUND($C136*$D136,0))</f>
        <v>0</v>
      </c>
      <c r="F136" s="22"/>
    </row>
    <row r="137" customFormat="false" ht="15" hidden="false" customHeight="false" outlineLevel="0" collapsed="false">
      <c r="A137" s="21"/>
      <c r="B137" s="22"/>
      <c r="C137" s="23"/>
      <c r="D137" s="19" t="str">
        <f aca="false">IF($A137="","",IFERROR(IF(INDEX(tblKasa[Tarih],ROW($A137)-ROW(tblKasa[[#Headers],[Tarih]])+1)=0,RaporTarihi,INDEX(tblKasa[Tarih],ROW($A137)-ROW(tblKasa[[#Headers],[Tarih]])+1))-$A137,RaporTarihi-$A137))</f>
        <v/>
      </c>
      <c r="E137" s="18" t="n">
        <f aca="false">IF($C137="",0,ROUND($C137*$D137,0))</f>
        <v>0</v>
      </c>
      <c r="F137" s="22"/>
    </row>
    <row r="138" customFormat="false" ht="15" hidden="false" customHeight="false" outlineLevel="0" collapsed="false">
      <c r="A138" s="21"/>
      <c r="B138" s="22"/>
      <c r="C138" s="23"/>
      <c r="D138" s="19" t="str">
        <f aca="false">IF($A138="","",IFERROR(IF(INDEX(tblKasa[Tarih],ROW($A138)-ROW(tblKasa[[#Headers],[Tarih]])+1)=0,RaporTarihi,INDEX(tblKasa[Tarih],ROW($A138)-ROW(tblKasa[[#Headers],[Tarih]])+1))-$A138,RaporTarihi-$A138))</f>
        <v/>
      </c>
      <c r="E138" s="18" t="n">
        <f aca="false">IF($C138="",0,ROUND($C138*$D138,0))</f>
        <v>0</v>
      </c>
      <c r="F138" s="22"/>
    </row>
    <row r="139" customFormat="false" ht="15" hidden="false" customHeight="false" outlineLevel="0" collapsed="false">
      <c r="A139" s="21"/>
      <c r="B139" s="22"/>
      <c r="C139" s="23"/>
      <c r="D139" s="19" t="str">
        <f aca="false">IF($A139="","",IFERROR(IF(INDEX(tblKasa[Tarih],ROW($A139)-ROW(tblKasa[[#Headers],[Tarih]])+1)=0,RaporTarihi,INDEX(tblKasa[Tarih],ROW($A139)-ROW(tblKasa[[#Headers],[Tarih]])+1))-$A139,RaporTarihi-$A139))</f>
        <v/>
      </c>
      <c r="E139" s="18" t="n">
        <f aca="false">IF($C139="",0,ROUND($C139*$D139,0))</f>
        <v>0</v>
      </c>
      <c r="F139" s="22"/>
    </row>
    <row r="140" customFormat="false" ht="15" hidden="false" customHeight="false" outlineLevel="0" collapsed="false">
      <c r="A140" s="21"/>
      <c r="B140" s="22"/>
      <c r="C140" s="23"/>
      <c r="D140" s="19" t="str">
        <f aca="false">IF($A140="","",IFERROR(IF(INDEX(tblKasa[Tarih],ROW($A140)-ROW(tblKasa[[#Headers],[Tarih]])+1)=0,RaporTarihi,INDEX(tblKasa[Tarih],ROW($A140)-ROW(tblKasa[[#Headers],[Tarih]])+1))-$A140,RaporTarihi-$A140))</f>
        <v/>
      </c>
      <c r="E140" s="18" t="n">
        <f aca="false">IF($C140="",0,ROUND($C140*$D140,0))</f>
        <v>0</v>
      </c>
      <c r="F140" s="22"/>
    </row>
    <row r="141" customFormat="false" ht="15" hidden="false" customHeight="false" outlineLevel="0" collapsed="false">
      <c r="A141" s="21"/>
      <c r="B141" s="22"/>
      <c r="C141" s="23"/>
      <c r="D141" s="19" t="str">
        <f aca="false">IF($A141="","",IFERROR(IF(INDEX(tblKasa[Tarih],ROW($A141)-ROW(tblKasa[[#Headers],[Tarih]])+1)=0,RaporTarihi,INDEX(tblKasa[Tarih],ROW($A141)-ROW(tblKasa[[#Headers],[Tarih]])+1))-$A141,RaporTarihi-$A141))</f>
        <v/>
      </c>
      <c r="E141" s="18" t="n">
        <f aca="false">IF($C141="",0,ROUND($C141*$D141,0))</f>
        <v>0</v>
      </c>
      <c r="F141" s="22"/>
    </row>
    <row r="142" customFormat="false" ht="15" hidden="false" customHeight="false" outlineLevel="0" collapsed="false">
      <c r="A142" s="21"/>
      <c r="B142" s="22"/>
      <c r="C142" s="23"/>
      <c r="D142" s="19" t="str">
        <f aca="false">IF($A142="","",IFERROR(IF(INDEX(tblKasa[Tarih],ROW($A142)-ROW(tblKasa[[#Headers],[Tarih]])+1)=0,RaporTarihi,INDEX(tblKasa[Tarih],ROW($A142)-ROW(tblKasa[[#Headers],[Tarih]])+1))-$A142,RaporTarihi-$A142))</f>
        <v/>
      </c>
      <c r="E142" s="18" t="n">
        <f aca="false">IF($C142="",0,ROUND($C142*$D142,0))</f>
        <v>0</v>
      </c>
      <c r="F142" s="22"/>
    </row>
    <row r="143" customFormat="false" ht="15" hidden="false" customHeight="false" outlineLevel="0" collapsed="false">
      <c r="A143" s="21"/>
      <c r="B143" s="22"/>
      <c r="C143" s="23"/>
      <c r="D143" s="19" t="str">
        <f aca="false">IF($A143="","",IFERROR(IF(INDEX(tblKasa[Tarih],ROW($A143)-ROW(tblKasa[[#Headers],[Tarih]])+1)=0,RaporTarihi,INDEX(tblKasa[Tarih],ROW($A143)-ROW(tblKasa[[#Headers],[Tarih]])+1))-$A143,RaporTarihi-$A143))</f>
        <v/>
      </c>
      <c r="E143" s="18" t="n">
        <f aca="false">IF($C143="",0,ROUND($C143*$D143,0))</f>
        <v>0</v>
      </c>
      <c r="F143" s="22"/>
    </row>
    <row r="144" customFormat="false" ht="15" hidden="false" customHeight="false" outlineLevel="0" collapsed="false">
      <c r="A144" s="21"/>
      <c r="B144" s="22"/>
      <c r="C144" s="23"/>
      <c r="D144" s="19" t="str">
        <f aca="false">IF($A144="","",IFERROR(IF(INDEX(tblKasa[Tarih],ROW($A144)-ROW(tblKasa[[#Headers],[Tarih]])+1)=0,RaporTarihi,INDEX(tblKasa[Tarih],ROW($A144)-ROW(tblKasa[[#Headers],[Tarih]])+1))-$A144,RaporTarihi-$A144))</f>
        <v/>
      </c>
      <c r="E144" s="18" t="n">
        <f aca="false">IF($C144="",0,ROUND($C144*$D144,0))</f>
        <v>0</v>
      </c>
      <c r="F144" s="22"/>
    </row>
    <row r="145" customFormat="false" ht="15" hidden="false" customHeight="false" outlineLevel="0" collapsed="false">
      <c r="A145" s="21"/>
      <c r="B145" s="22"/>
      <c r="C145" s="23"/>
      <c r="D145" s="19" t="str">
        <f aca="false">IF($A145="","",IFERROR(IF(INDEX(tblKasa[Tarih],ROW($A145)-ROW(tblKasa[[#Headers],[Tarih]])+1)=0,RaporTarihi,INDEX(tblKasa[Tarih],ROW($A145)-ROW(tblKasa[[#Headers],[Tarih]])+1))-$A145,RaporTarihi-$A145))</f>
        <v/>
      </c>
      <c r="E145" s="18" t="n">
        <f aca="false">IF($C145="",0,ROUND($C145*$D145,0))</f>
        <v>0</v>
      </c>
      <c r="F145" s="22"/>
    </row>
    <row r="146" customFormat="false" ht="15" hidden="false" customHeight="false" outlineLevel="0" collapsed="false">
      <c r="A146" s="21"/>
      <c r="B146" s="22"/>
      <c r="C146" s="23"/>
      <c r="D146" s="19" t="str">
        <f aca="false">IF($A146="","",IFERROR(IF(INDEX(tblKasa[Tarih],ROW($A146)-ROW(tblKasa[[#Headers],[Tarih]])+1)=0,RaporTarihi,INDEX(tblKasa[Tarih],ROW($A146)-ROW(tblKasa[[#Headers],[Tarih]])+1))-$A146,RaporTarihi-$A146))</f>
        <v/>
      </c>
      <c r="E146" s="18" t="n">
        <f aca="false">IF($C146="",0,ROUND($C146*$D146,0))</f>
        <v>0</v>
      </c>
      <c r="F146" s="22"/>
    </row>
    <row r="147" customFormat="false" ht="15" hidden="false" customHeight="false" outlineLevel="0" collapsed="false">
      <c r="A147" s="21"/>
      <c r="B147" s="22"/>
      <c r="C147" s="23"/>
      <c r="D147" s="19" t="str">
        <f aca="false">IF($A147="","",IFERROR(IF(INDEX(tblKasa[Tarih],ROW($A147)-ROW(tblKasa[[#Headers],[Tarih]])+1)=0,RaporTarihi,INDEX(tblKasa[Tarih],ROW($A147)-ROW(tblKasa[[#Headers],[Tarih]])+1))-$A147,RaporTarihi-$A147))</f>
        <v/>
      </c>
      <c r="E147" s="18" t="n">
        <f aca="false">IF($C147="",0,ROUND($C147*$D147,0))</f>
        <v>0</v>
      </c>
      <c r="F147" s="22"/>
    </row>
    <row r="148" customFormat="false" ht="15" hidden="false" customHeight="false" outlineLevel="0" collapsed="false">
      <c r="A148" s="21"/>
      <c r="B148" s="22"/>
      <c r="C148" s="23"/>
      <c r="D148" s="19" t="str">
        <f aca="false">IF($A148="","",IFERROR(IF(INDEX(tblKasa[Tarih],ROW($A148)-ROW(tblKasa[[#Headers],[Tarih]])+1)=0,RaporTarihi,INDEX(tblKasa[Tarih],ROW($A148)-ROW(tblKasa[[#Headers],[Tarih]])+1))-$A148,RaporTarihi-$A148))</f>
        <v/>
      </c>
      <c r="E148" s="18" t="n">
        <f aca="false">IF($C148="",0,ROUND($C148*$D148,0))</f>
        <v>0</v>
      </c>
      <c r="F148" s="22"/>
    </row>
    <row r="149" customFormat="false" ht="15" hidden="false" customHeight="false" outlineLevel="0" collapsed="false">
      <c r="A149" s="21"/>
      <c r="B149" s="22"/>
      <c r="C149" s="23"/>
      <c r="D149" s="19" t="str">
        <f aca="false">IF($A149="","",IFERROR(IF(INDEX(tblKasa[Tarih],ROW($A149)-ROW(tblKasa[[#Headers],[Tarih]])+1)=0,RaporTarihi,INDEX(tblKasa[Tarih],ROW($A149)-ROW(tblKasa[[#Headers],[Tarih]])+1))-$A149,RaporTarihi-$A149))</f>
        <v/>
      </c>
      <c r="E149" s="18" t="n">
        <f aca="false">IF($C149="",0,ROUND($C149*$D149,0))</f>
        <v>0</v>
      </c>
      <c r="F149" s="22"/>
    </row>
    <row r="150" customFormat="false" ht="15" hidden="false" customHeight="false" outlineLevel="0" collapsed="false">
      <c r="A150" s="21"/>
      <c r="B150" s="22"/>
      <c r="C150" s="23"/>
      <c r="D150" s="19" t="str">
        <f aca="false">IF($A150="","",IFERROR(IF(INDEX(tblKasa[Tarih],ROW($A150)-ROW(tblKasa[[#Headers],[Tarih]])+1)=0,RaporTarihi,INDEX(tblKasa[Tarih],ROW($A150)-ROW(tblKasa[[#Headers],[Tarih]])+1))-$A150,RaporTarihi-$A150))</f>
        <v/>
      </c>
      <c r="E150" s="18" t="n">
        <f aca="false">IF($C150="",0,ROUND($C150*$D150,0))</f>
        <v>0</v>
      </c>
      <c r="F150" s="22"/>
    </row>
    <row r="151" customFormat="false" ht="15" hidden="false" customHeight="false" outlineLevel="0" collapsed="false">
      <c r="A151" s="21"/>
      <c r="B151" s="22"/>
      <c r="C151" s="23"/>
      <c r="D151" s="19" t="str">
        <f aca="false">IF($A151="","",IFERROR(IF(INDEX(tblKasa[Tarih],ROW($A151)-ROW(tblKasa[[#Headers],[Tarih]])+1)=0,RaporTarihi,INDEX(tblKasa[Tarih],ROW($A151)-ROW(tblKasa[[#Headers],[Tarih]])+1))-$A151,RaporTarihi-$A151))</f>
        <v/>
      </c>
      <c r="E151" s="18" t="n">
        <f aca="false">IF($C151="",0,ROUND($C151*$D151,0))</f>
        <v>0</v>
      </c>
      <c r="F151" s="22"/>
    </row>
    <row r="152" customFormat="false" ht="15" hidden="false" customHeight="false" outlineLevel="0" collapsed="false">
      <c r="A152" s="21"/>
      <c r="B152" s="22"/>
      <c r="C152" s="23"/>
      <c r="D152" s="19" t="str">
        <f aca="false">IF($A152="","",IFERROR(IF(INDEX(tblKasa[Tarih],ROW($A152)-ROW(tblKasa[[#Headers],[Tarih]])+1)=0,RaporTarihi,INDEX(tblKasa[Tarih],ROW($A152)-ROW(tblKasa[[#Headers],[Tarih]])+1))-$A152,RaporTarihi-$A152))</f>
        <v/>
      </c>
      <c r="E152" s="18" t="n">
        <f aca="false">IF($C152="",0,ROUND($C152*$D152,0))</f>
        <v>0</v>
      </c>
      <c r="F152" s="22"/>
    </row>
    <row r="153" customFormat="false" ht="15" hidden="false" customHeight="false" outlineLevel="0" collapsed="false">
      <c r="A153" s="21"/>
      <c r="B153" s="22"/>
      <c r="C153" s="23"/>
      <c r="D153" s="19" t="str">
        <f aca="false">IF($A153="","",IFERROR(IF(INDEX(tblKasa[Tarih],ROW($A153)-ROW(tblKasa[[#Headers],[Tarih]])+1)=0,RaporTarihi,INDEX(tblKasa[Tarih],ROW($A153)-ROW(tblKasa[[#Headers],[Tarih]])+1))-$A153,RaporTarihi-$A153))</f>
        <v/>
      </c>
      <c r="E153" s="18" t="n">
        <f aca="false">IF($C153="",0,ROUND($C153*$D153,0))</f>
        <v>0</v>
      </c>
      <c r="F153" s="22"/>
    </row>
    <row r="154" customFormat="false" ht="15" hidden="false" customHeight="false" outlineLevel="0" collapsed="false">
      <c r="A154" s="21"/>
      <c r="B154" s="22"/>
      <c r="C154" s="23"/>
      <c r="D154" s="19" t="str">
        <f aca="false">IF($A154="","",IFERROR(IF(INDEX(tblKasa[Tarih],ROW($A154)-ROW(tblKasa[[#Headers],[Tarih]])+1)=0,RaporTarihi,INDEX(tblKasa[Tarih],ROW($A154)-ROW(tblKasa[[#Headers],[Tarih]])+1))-$A154,RaporTarihi-$A154))</f>
        <v/>
      </c>
      <c r="E154" s="18" t="n">
        <f aca="false">IF($C154="",0,ROUND($C154*$D154,0))</f>
        <v>0</v>
      </c>
      <c r="F154" s="22"/>
    </row>
    <row r="155" customFormat="false" ht="15" hidden="false" customHeight="false" outlineLevel="0" collapsed="false">
      <c r="A155" s="21"/>
      <c r="B155" s="22"/>
      <c r="C155" s="23"/>
      <c r="D155" s="19" t="str">
        <f aca="false">IF($A155="","",IFERROR(IF(INDEX(tblKasa[Tarih],ROW($A155)-ROW(tblKasa[[#Headers],[Tarih]])+1)=0,RaporTarihi,INDEX(tblKasa[Tarih],ROW($A155)-ROW(tblKasa[[#Headers],[Tarih]])+1))-$A155,RaporTarihi-$A155))</f>
        <v/>
      </c>
      <c r="E155" s="18" t="n">
        <f aca="false">IF($C155="",0,ROUND($C155*$D155,0))</f>
        <v>0</v>
      </c>
      <c r="F155" s="22"/>
    </row>
    <row r="156" customFormat="false" ht="15" hidden="false" customHeight="false" outlineLevel="0" collapsed="false">
      <c r="A156" s="21"/>
      <c r="B156" s="22"/>
      <c r="C156" s="23"/>
      <c r="D156" s="19" t="str">
        <f aca="false">IF($A156="","",IFERROR(IF(INDEX(tblKasa[Tarih],ROW($A156)-ROW(tblKasa[[#Headers],[Tarih]])+1)=0,RaporTarihi,INDEX(tblKasa[Tarih],ROW($A156)-ROW(tblKasa[[#Headers],[Tarih]])+1))-$A156,RaporTarihi-$A156))</f>
        <v/>
      </c>
      <c r="E156" s="18" t="n">
        <f aca="false">IF($C156="",0,ROUND($C156*$D156,0))</f>
        <v>0</v>
      </c>
      <c r="F156" s="22"/>
    </row>
    <row r="157" customFormat="false" ht="15" hidden="false" customHeight="false" outlineLevel="0" collapsed="false">
      <c r="A157" s="21"/>
      <c r="B157" s="22"/>
      <c r="C157" s="23"/>
      <c r="D157" s="19" t="str">
        <f aca="false">IF($A157="","",IFERROR(IF(INDEX(tblKasa[Tarih],ROW($A157)-ROW(tblKasa[[#Headers],[Tarih]])+1)=0,RaporTarihi,INDEX(tblKasa[Tarih],ROW($A157)-ROW(tblKasa[[#Headers],[Tarih]])+1))-$A157,RaporTarihi-$A157))</f>
        <v/>
      </c>
      <c r="E157" s="18" t="n">
        <f aca="false">IF($C157="",0,ROUND($C157*$D157,0))</f>
        <v>0</v>
      </c>
      <c r="F157" s="22"/>
    </row>
    <row r="158" customFormat="false" ht="15" hidden="false" customHeight="false" outlineLevel="0" collapsed="false">
      <c r="A158" s="21"/>
      <c r="B158" s="22"/>
      <c r="C158" s="23"/>
      <c r="D158" s="19" t="str">
        <f aca="false">IF($A158="","",IFERROR(IF(INDEX(tblKasa[Tarih],ROW($A158)-ROW(tblKasa[[#Headers],[Tarih]])+1)=0,RaporTarihi,INDEX(tblKasa[Tarih],ROW($A158)-ROW(tblKasa[[#Headers],[Tarih]])+1))-$A158,RaporTarihi-$A158))</f>
        <v/>
      </c>
      <c r="E158" s="18" t="n">
        <f aca="false">IF($C158="",0,ROUND($C158*$D158,0))</f>
        <v>0</v>
      </c>
      <c r="F158" s="22"/>
    </row>
    <row r="159" customFormat="false" ht="15" hidden="false" customHeight="false" outlineLevel="0" collapsed="false">
      <c r="A159" s="21"/>
      <c r="B159" s="22"/>
      <c r="C159" s="23"/>
      <c r="D159" s="19" t="str">
        <f aca="false">IF($A159="","",IFERROR(IF(INDEX(tblKasa[Tarih],ROW($A159)-ROW(tblKasa[[#Headers],[Tarih]])+1)=0,RaporTarihi,INDEX(tblKasa[Tarih],ROW($A159)-ROW(tblKasa[[#Headers],[Tarih]])+1))-$A159,RaporTarihi-$A159))</f>
        <v/>
      </c>
      <c r="E159" s="18" t="n">
        <f aca="false">IF($C159="",0,ROUND($C159*$D159,0))</f>
        <v>0</v>
      </c>
      <c r="F159" s="22"/>
    </row>
    <row r="160" customFormat="false" ht="15" hidden="false" customHeight="false" outlineLevel="0" collapsed="false">
      <c r="A160" s="21"/>
      <c r="B160" s="22"/>
      <c r="C160" s="23"/>
      <c r="D160" s="19" t="str">
        <f aca="false">IF($A160="","",IFERROR(IF(INDEX(tblKasa[Tarih],ROW($A160)-ROW(tblKasa[[#Headers],[Tarih]])+1)=0,RaporTarihi,INDEX(tblKasa[Tarih],ROW($A160)-ROW(tblKasa[[#Headers],[Tarih]])+1))-$A160,RaporTarihi-$A160))</f>
        <v/>
      </c>
      <c r="E160" s="18" t="n">
        <f aca="false">IF($C160="",0,ROUND($C160*$D160,0))</f>
        <v>0</v>
      </c>
      <c r="F160" s="22"/>
    </row>
    <row r="161" customFormat="false" ht="15" hidden="false" customHeight="false" outlineLevel="0" collapsed="false">
      <c r="A161" s="21"/>
      <c r="B161" s="22"/>
      <c r="C161" s="23"/>
      <c r="D161" s="19" t="str">
        <f aca="false">IF($A161="","",IFERROR(IF(INDEX(tblKasa[Tarih],ROW($A161)-ROW(tblKasa[[#Headers],[Tarih]])+1)=0,RaporTarihi,INDEX(tblKasa[Tarih],ROW($A161)-ROW(tblKasa[[#Headers],[Tarih]])+1))-$A161,RaporTarihi-$A161))</f>
        <v/>
      </c>
      <c r="E161" s="18" t="n">
        <f aca="false">IF($C161="",0,ROUND($C161*$D161,0))</f>
        <v>0</v>
      </c>
      <c r="F161" s="22"/>
    </row>
    <row r="162" customFormat="false" ht="15" hidden="false" customHeight="false" outlineLevel="0" collapsed="false">
      <c r="A162" s="21"/>
      <c r="B162" s="22"/>
      <c r="C162" s="23"/>
      <c r="D162" s="19" t="str">
        <f aca="false">IF($A162="","",IFERROR(IF(INDEX(tblKasa[Tarih],ROW($A162)-ROW(tblKasa[[#Headers],[Tarih]])+1)=0,RaporTarihi,INDEX(tblKasa[Tarih],ROW($A162)-ROW(tblKasa[[#Headers],[Tarih]])+1))-$A162,RaporTarihi-$A162))</f>
        <v/>
      </c>
      <c r="E162" s="18" t="n">
        <f aca="false">IF($C162="",0,ROUND($C162*$D162,0))</f>
        <v>0</v>
      </c>
      <c r="F162" s="22"/>
    </row>
    <row r="163" customFormat="false" ht="15" hidden="false" customHeight="false" outlineLevel="0" collapsed="false">
      <c r="A163" s="21"/>
      <c r="B163" s="22"/>
      <c r="C163" s="23"/>
      <c r="D163" s="19" t="str">
        <f aca="false">IF($A163="","",IFERROR(IF(INDEX(tblKasa[Tarih],ROW($A163)-ROW(tblKasa[[#Headers],[Tarih]])+1)=0,RaporTarihi,INDEX(tblKasa[Tarih],ROW($A163)-ROW(tblKasa[[#Headers],[Tarih]])+1))-$A163,RaporTarihi-$A163))</f>
        <v/>
      </c>
      <c r="E163" s="18" t="n">
        <f aca="false">IF($C163="",0,ROUND($C163*$D163,0))</f>
        <v>0</v>
      </c>
      <c r="F163" s="22"/>
    </row>
    <row r="164" customFormat="false" ht="15" hidden="false" customHeight="false" outlineLevel="0" collapsed="false">
      <c r="A164" s="21"/>
      <c r="B164" s="22"/>
      <c r="C164" s="23"/>
      <c r="D164" s="19" t="str">
        <f aca="false">IF($A164="","",IFERROR(IF(INDEX(tblKasa[Tarih],ROW($A164)-ROW(tblKasa[[#Headers],[Tarih]])+1)=0,RaporTarihi,INDEX(tblKasa[Tarih],ROW($A164)-ROW(tblKasa[[#Headers],[Tarih]])+1))-$A164,RaporTarihi-$A164))</f>
        <v/>
      </c>
      <c r="E164" s="18" t="n">
        <f aca="false">IF($C164="",0,ROUND($C164*$D164,0))</f>
        <v>0</v>
      </c>
      <c r="F164" s="22"/>
    </row>
    <row r="165" customFormat="false" ht="15" hidden="false" customHeight="false" outlineLevel="0" collapsed="false">
      <c r="A165" s="21"/>
      <c r="B165" s="22"/>
      <c r="C165" s="23"/>
      <c r="D165" s="19" t="str">
        <f aca="false">IF($A165="","",IFERROR(IF(INDEX(tblKasa[Tarih],ROW($A165)-ROW(tblKasa[[#Headers],[Tarih]])+1)=0,RaporTarihi,INDEX(tblKasa[Tarih],ROW($A165)-ROW(tblKasa[[#Headers],[Tarih]])+1))-$A165,RaporTarihi-$A165))</f>
        <v/>
      </c>
      <c r="E165" s="18" t="n">
        <f aca="false">IF($C165="",0,ROUND($C165*$D165,0))</f>
        <v>0</v>
      </c>
      <c r="F165" s="22"/>
    </row>
    <row r="166" customFormat="false" ht="15" hidden="false" customHeight="false" outlineLevel="0" collapsed="false">
      <c r="A166" s="21"/>
      <c r="B166" s="22"/>
      <c r="C166" s="23"/>
      <c r="D166" s="19" t="str">
        <f aca="false">IF($A166="","",IFERROR(IF(INDEX(tblKasa[Tarih],ROW($A166)-ROW(tblKasa[[#Headers],[Tarih]])+1)=0,RaporTarihi,INDEX(tblKasa[Tarih],ROW($A166)-ROW(tblKasa[[#Headers],[Tarih]])+1))-$A166,RaporTarihi-$A166))</f>
        <v/>
      </c>
      <c r="E166" s="18" t="n">
        <f aca="false">IF($C166="",0,ROUND($C166*$D166,0))</f>
        <v>0</v>
      </c>
      <c r="F166" s="22"/>
    </row>
    <row r="167" customFormat="false" ht="15" hidden="false" customHeight="false" outlineLevel="0" collapsed="false">
      <c r="A167" s="21"/>
      <c r="B167" s="22"/>
      <c r="C167" s="23"/>
      <c r="D167" s="19" t="str">
        <f aca="false">IF($A167="","",IFERROR(IF(INDEX(tblKasa[Tarih],ROW($A167)-ROW(tblKasa[[#Headers],[Tarih]])+1)=0,RaporTarihi,INDEX(tblKasa[Tarih],ROW($A167)-ROW(tblKasa[[#Headers],[Tarih]])+1))-$A167,RaporTarihi-$A167))</f>
        <v/>
      </c>
      <c r="E167" s="18" t="n">
        <f aca="false">IF($C167="",0,ROUND($C167*$D167,0))</f>
        <v>0</v>
      </c>
      <c r="F167" s="22"/>
    </row>
    <row r="168" customFormat="false" ht="15" hidden="false" customHeight="false" outlineLevel="0" collapsed="false">
      <c r="A168" s="21"/>
      <c r="B168" s="22"/>
      <c r="C168" s="23"/>
      <c r="D168" s="19" t="str">
        <f aca="false">IF($A168="","",IFERROR(IF(INDEX(tblKasa[Tarih],ROW($A168)-ROW(tblKasa[[#Headers],[Tarih]])+1)=0,RaporTarihi,INDEX(tblKasa[Tarih],ROW($A168)-ROW(tblKasa[[#Headers],[Tarih]])+1))-$A168,RaporTarihi-$A168))</f>
        <v/>
      </c>
      <c r="E168" s="18" t="n">
        <f aca="false">IF($C168="",0,ROUND($C168*$D168,0))</f>
        <v>0</v>
      </c>
      <c r="F168" s="22"/>
    </row>
    <row r="169" customFormat="false" ht="15" hidden="false" customHeight="false" outlineLevel="0" collapsed="false">
      <c r="A169" s="21"/>
      <c r="B169" s="22"/>
      <c r="C169" s="23"/>
      <c r="D169" s="19" t="str">
        <f aca="false">IF($A169="","",IFERROR(IF(INDEX(tblKasa[Tarih],ROW($A169)-ROW(tblKasa[[#Headers],[Tarih]])+1)=0,RaporTarihi,INDEX(tblKasa[Tarih],ROW($A169)-ROW(tblKasa[[#Headers],[Tarih]])+1))-$A169,RaporTarihi-$A169))</f>
        <v/>
      </c>
      <c r="E169" s="18" t="n">
        <f aca="false">IF($C169="",0,ROUND($C169*$D169,0))</f>
        <v>0</v>
      </c>
      <c r="F169" s="22"/>
    </row>
    <row r="170" customFormat="false" ht="15" hidden="false" customHeight="false" outlineLevel="0" collapsed="false">
      <c r="A170" s="21"/>
      <c r="B170" s="22"/>
      <c r="C170" s="23"/>
      <c r="D170" s="19" t="str">
        <f aca="false">IF($A170="","",IFERROR(IF(INDEX(tblKasa[Tarih],ROW($A170)-ROW(tblKasa[[#Headers],[Tarih]])+1)=0,RaporTarihi,INDEX(tblKasa[Tarih],ROW($A170)-ROW(tblKasa[[#Headers],[Tarih]])+1))-$A170,RaporTarihi-$A170))</f>
        <v/>
      </c>
      <c r="E170" s="18" t="n">
        <f aca="false">IF($C170="",0,ROUND($C170*$D170,0))</f>
        <v>0</v>
      </c>
      <c r="F170" s="22"/>
    </row>
    <row r="171" customFormat="false" ht="15" hidden="false" customHeight="false" outlineLevel="0" collapsed="false">
      <c r="A171" s="21"/>
      <c r="B171" s="22"/>
      <c r="C171" s="23"/>
      <c r="D171" s="19" t="str">
        <f aca="false">IF($A171="","",IFERROR(IF(INDEX(tblKasa[Tarih],ROW($A171)-ROW(tblKasa[[#Headers],[Tarih]])+1)=0,RaporTarihi,INDEX(tblKasa[Tarih],ROW($A171)-ROW(tblKasa[[#Headers],[Tarih]])+1))-$A171,RaporTarihi-$A171))</f>
        <v/>
      </c>
      <c r="E171" s="18" t="n">
        <f aca="false">IF($C171="",0,ROUND($C171*$D171,0))</f>
        <v>0</v>
      </c>
      <c r="F171" s="22"/>
    </row>
    <row r="172" customFormat="false" ht="15" hidden="false" customHeight="false" outlineLevel="0" collapsed="false">
      <c r="A172" s="21"/>
      <c r="B172" s="22"/>
      <c r="C172" s="23"/>
      <c r="D172" s="19" t="str">
        <f aca="false">IF($A172="","",IFERROR(IF(INDEX(tblKasa[Tarih],ROW($A172)-ROW(tblKasa[[#Headers],[Tarih]])+1)=0,RaporTarihi,INDEX(tblKasa[Tarih],ROW($A172)-ROW(tblKasa[[#Headers],[Tarih]])+1))-$A172,RaporTarihi-$A172))</f>
        <v/>
      </c>
      <c r="E172" s="18" t="n">
        <f aca="false">IF($C172="",0,ROUND($C172*$D172,0))</f>
        <v>0</v>
      </c>
      <c r="F172" s="22"/>
    </row>
    <row r="173" customFormat="false" ht="15" hidden="false" customHeight="false" outlineLevel="0" collapsed="false">
      <c r="A173" s="21"/>
      <c r="B173" s="22"/>
      <c r="C173" s="23"/>
      <c r="D173" s="19" t="str">
        <f aca="false">IF($A173="","",IFERROR(IF(INDEX(tblKasa[Tarih],ROW($A173)-ROW(tblKasa[[#Headers],[Tarih]])+1)=0,RaporTarihi,INDEX(tblKasa[Tarih],ROW($A173)-ROW(tblKasa[[#Headers],[Tarih]])+1))-$A173,RaporTarihi-$A173))</f>
        <v/>
      </c>
      <c r="E173" s="18" t="n">
        <f aca="false">IF($C173="",0,ROUND($C173*$D173,0))</f>
        <v>0</v>
      </c>
      <c r="F173" s="22"/>
    </row>
    <row r="174" customFormat="false" ht="15" hidden="false" customHeight="false" outlineLevel="0" collapsed="false">
      <c r="A174" s="21"/>
      <c r="B174" s="22"/>
      <c r="C174" s="23"/>
      <c r="D174" s="19" t="str">
        <f aca="false">IF($A174="","",IFERROR(IF(INDEX(tblKasa[Tarih],ROW($A174)-ROW(tblKasa[[#Headers],[Tarih]])+1)=0,RaporTarihi,INDEX(tblKasa[Tarih],ROW($A174)-ROW(tblKasa[[#Headers],[Tarih]])+1))-$A174,RaporTarihi-$A174))</f>
        <v/>
      </c>
      <c r="E174" s="18" t="n">
        <f aca="false">IF($C174="",0,ROUND($C174*$D174,0))</f>
        <v>0</v>
      </c>
      <c r="F174" s="22"/>
    </row>
    <row r="175" customFormat="false" ht="15" hidden="false" customHeight="false" outlineLevel="0" collapsed="false">
      <c r="A175" s="21"/>
      <c r="B175" s="22"/>
      <c r="C175" s="23"/>
      <c r="D175" s="19" t="str">
        <f aca="false">IF($A175="","",IFERROR(IF(INDEX(tblKasa[Tarih],ROW($A175)-ROW(tblKasa[[#Headers],[Tarih]])+1)=0,RaporTarihi,INDEX(tblKasa[Tarih],ROW($A175)-ROW(tblKasa[[#Headers],[Tarih]])+1))-$A175,RaporTarihi-$A175))</f>
        <v/>
      </c>
      <c r="E175" s="18" t="n">
        <f aca="false">IF($C175="",0,ROUND($C175*$D175,0))</f>
        <v>0</v>
      </c>
      <c r="F175" s="22"/>
    </row>
    <row r="176" customFormat="false" ht="15" hidden="false" customHeight="false" outlineLevel="0" collapsed="false">
      <c r="A176" s="21"/>
      <c r="B176" s="22"/>
      <c r="C176" s="23"/>
      <c r="D176" s="19" t="str">
        <f aca="false">IF($A176="","",IFERROR(IF(INDEX(tblKasa[Tarih],ROW($A176)-ROW(tblKasa[[#Headers],[Tarih]])+1)=0,RaporTarihi,INDEX(tblKasa[Tarih],ROW($A176)-ROW(tblKasa[[#Headers],[Tarih]])+1))-$A176,RaporTarihi-$A176))</f>
        <v/>
      </c>
      <c r="E176" s="18" t="n">
        <f aca="false">IF($C176="",0,ROUND($C176*$D176,0))</f>
        <v>0</v>
      </c>
      <c r="F176" s="22"/>
    </row>
    <row r="177" customFormat="false" ht="15" hidden="false" customHeight="false" outlineLevel="0" collapsed="false">
      <c r="A177" s="21"/>
      <c r="B177" s="22"/>
      <c r="C177" s="23"/>
      <c r="D177" s="19" t="str">
        <f aca="false">IF($A177="","",IFERROR(IF(INDEX(tblKasa[Tarih],ROW($A177)-ROW(tblKasa[[#Headers],[Tarih]])+1)=0,RaporTarihi,INDEX(tblKasa[Tarih],ROW($A177)-ROW(tblKasa[[#Headers],[Tarih]])+1))-$A177,RaporTarihi-$A177))</f>
        <v/>
      </c>
      <c r="E177" s="18" t="n">
        <f aca="false">IF($C177="",0,ROUND($C177*$D177,0))</f>
        <v>0</v>
      </c>
      <c r="F177" s="22"/>
    </row>
    <row r="178" customFormat="false" ht="15" hidden="false" customHeight="false" outlineLevel="0" collapsed="false">
      <c r="A178" s="21"/>
      <c r="B178" s="22"/>
      <c r="C178" s="23"/>
      <c r="D178" s="19" t="str">
        <f aca="false">IF($A178="","",IFERROR(IF(INDEX(tblKasa[Tarih],ROW($A178)-ROW(tblKasa[[#Headers],[Tarih]])+1)=0,RaporTarihi,INDEX(tblKasa[Tarih],ROW($A178)-ROW(tblKasa[[#Headers],[Tarih]])+1))-$A178,RaporTarihi-$A178))</f>
        <v/>
      </c>
      <c r="E178" s="18" t="n">
        <f aca="false">IF($C178="",0,ROUND($C178*$D178,0))</f>
        <v>0</v>
      </c>
      <c r="F178" s="22"/>
    </row>
    <row r="179" customFormat="false" ht="15" hidden="false" customHeight="false" outlineLevel="0" collapsed="false">
      <c r="A179" s="21"/>
      <c r="B179" s="22"/>
      <c r="C179" s="23"/>
      <c r="D179" s="19" t="str">
        <f aca="false">IF($A179="","",IFERROR(IF(INDEX(tblKasa[Tarih],ROW($A179)-ROW(tblKasa[[#Headers],[Tarih]])+1)=0,RaporTarihi,INDEX(tblKasa[Tarih],ROW($A179)-ROW(tblKasa[[#Headers],[Tarih]])+1))-$A179,RaporTarihi-$A179))</f>
        <v/>
      </c>
      <c r="E179" s="18" t="n">
        <f aca="false">IF($C179="",0,ROUND($C179*$D179,0))</f>
        <v>0</v>
      </c>
      <c r="F179" s="22"/>
    </row>
    <row r="180" customFormat="false" ht="15" hidden="false" customHeight="false" outlineLevel="0" collapsed="false">
      <c r="A180" s="21"/>
      <c r="B180" s="22"/>
      <c r="C180" s="23"/>
      <c r="D180" s="19" t="str">
        <f aca="false">IF($A180="","",IFERROR(IF(INDEX(tblKasa[Tarih],ROW($A180)-ROW(tblKasa[[#Headers],[Tarih]])+1)=0,RaporTarihi,INDEX(tblKasa[Tarih],ROW($A180)-ROW(tblKasa[[#Headers],[Tarih]])+1))-$A180,RaporTarihi-$A180))</f>
        <v/>
      </c>
      <c r="E180" s="18" t="n">
        <f aca="false">IF($C180="",0,ROUND($C180*$D180,0))</f>
        <v>0</v>
      </c>
      <c r="F180" s="22"/>
    </row>
    <row r="181" customFormat="false" ht="15" hidden="false" customHeight="false" outlineLevel="0" collapsed="false">
      <c r="A181" s="21"/>
      <c r="B181" s="22"/>
      <c r="C181" s="23"/>
      <c r="D181" s="19" t="str">
        <f aca="false">IF($A181="","",IFERROR(IF(INDEX(tblKasa[Tarih],ROW($A181)-ROW(tblKasa[[#Headers],[Tarih]])+1)=0,RaporTarihi,INDEX(tblKasa[Tarih],ROW($A181)-ROW(tblKasa[[#Headers],[Tarih]])+1))-$A181,RaporTarihi-$A181))</f>
        <v/>
      </c>
      <c r="E181" s="18" t="n">
        <f aca="false">IF($C181="",0,ROUND($C181*$D181,0))</f>
        <v>0</v>
      </c>
      <c r="F181" s="22"/>
    </row>
    <row r="182" customFormat="false" ht="15" hidden="false" customHeight="false" outlineLevel="0" collapsed="false">
      <c r="A182" s="21"/>
      <c r="B182" s="22"/>
      <c r="C182" s="23"/>
      <c r="D182" s="19" t="str">
        <f aca="false">IF($A182="","",IFERROR(IF(INDEX(tblKasa[Tarih],ROW($A182)-ROW(tblKasa[[#Headers],[Tarih]])+1)=0,RaporTarihi,INDEX(tblKasa[Tarih],ROW($A182)-ROW(tblKasa[[#Headers],[Tarih]])+1))-$A182,RaporTarihi-$A182))</f>
        <v/>
      </c>
      <c r="E182" s="18" t="n">
        <f aca="false">IF($C182="",0,ROUND($C182*$D182,0))</f>
        <v>0</v>
      </c>
      <c r="F182" s="22"/>
    </row>
    <row r="183" customFormat="false" ht="15" hidden="false" customHeight="false" outlineLevel="0" collapsed="false">
      <c r="A183" s="21"/>
      <c r="B183" s="22"/>
      <c r="C183" s="23"/>
      <c r="D183" s="19" t="str">
        <f aca="false">IF($A183="","",IFERROR(IF(INDEX(tblKasa[Tarih],ROW($A183)-ROW(tblKasa[[#Headers],[Tarih]])+1)=0,RaporTarihi,INDEX(tblKasa[Tarih],ROW($A183)-ROW(tblKasa[[#Headers],[Tarih]])+1))-$A183,RaporTarihi-$A183))</f>
        <v/>
      </c>
      <c r="E183" s="18" t="n">
        <f aca="false">IF($C183="",0,ROUND($C183*$D183,0))</f>
        <v>0</v>
      </c>
      <c r="F183" s="22"/>
    </row>
    <row r="184" customFormat="false" ht="15" hidden="false" customHeight="false" outlineLevel="0" collapsed="false">
      <c r="A184" s="21"/>
      <c r="B184" s="22"/>
      <c r="C184" s="23"/>
      <c r="D184" s="19" t="str">
        <f aca="false">IF($A184="","",IFERROR(IF(INDEX(tblKasa[Tarih],ROW($A184)-ROW(tblKasa[[#Headers],[Tarih]])+1)=0,RaporTarihi,INDEX(tblKasa[Tarih],ROW($A184)-ROW(tblKasa[[#Headers],[Tarih]])+1))-$A184,RaporTarihi-$A184))</f>
        <v/>
      </c>
      <c r="E184" s="18" t="n">
        <f aca="false">IF($C184="",0,ROUND($C184*$D184,0))</f>
        <v>0</v>
      </c>
      <c r="F184" s="22"/>
    </row>
    <row r="185" customFormat="false" ht="15" hidden="false" customHeight="false" outlineLevel="0" collapsed="false">
      <c r="A185" s="21"/>
      <c r="B185" s="22"/>
      <c r="C185" s="23"/>
      <c r="D185" s="19" t="str">
        <f aca="false">IF($A185="","",IFERROR(IF(INDEX(tblKasa[Tarih],ROW($A185)-ROW(tblKasa[[#Headers],[Tarih]])+1)=0,RaporTarihi,INDEX(tblKasa[Tarih],ROW($A185)-ROW(tblKasa[[#Headers],[Tarih]])+1))-$A185,RaporTarihi-$A185))</f>
        <v/>
      </c>
      <c r="E185" s="18" t="n">
        <f aca="false">IF($C185="",0,ROUND($C185*$D185,0))</f>
        <v>0</v>
      </c>
      <c r="F185" s="22"/>
    </row>
    <row r="186" customFormat="false" ht="15" hidden="false" customHeight="false" outlineLevel="0" collapsed="false">
      <c r="A186" s="21"/>
      <c r="B186" s="22"/>
      <c r="C186" s="23"/>
      <c r="D186" s="19" t="str">
        <f aca="false">IF($A186="","",IFERROR(IF(INDEX(tblKasa[Tarih],ROW($A186)-ROW(tblKasa[[#Headers],[Tarih]])+1)=0,RaporTarihi,INDEX(tblKasa[Tarih],ROW($A186)-ROW(tblKasa[[#Headers],[Tarih]])+1))-$A186,RaporTarihi-$A186))</f>
        <v/>
      </c>
      <c r="E186" s="18" t="n">
        <f aca="false">IF($C186="",0,ROUND($C186*$D186,0))</f>
        <v>0</v>
      </c>
      <c r="F186" s="22"/>
    </row>
    <row r="187" customFormat="false" ht="15" hidden="false" customHeight="false" outlineLevel="0" collapsed="false">
      <c r="A187" s="21"/>
      <c r="B187" s="22"/>
      <c r="C187" s="23"/>
      <c r="D187" s="19" t="str">
        <f aca="false">IF($A187="","",IFERROR(IF(INDEX(tblKasa[Tarih],ROW($A187)-ROW(tblKasa[[#Headers],[Tarih]])+1)=0,RaporTarihi,INDEX(tblKasa[Tarih],ROW($A187)-ROW(tblKasa[[#Headers],[Tarih]])+1))-$A187,RaporTarihi-$A187))</f>
        <v/>
      </c>
      <c r="E187" s="18" t="n">
        <f aca="false">IF($C187="",0,ROUND($C187*$D187,0))</f>
        <v>0</v>
      </c>
      <c r="F187" s="22"/>
    </row>
    <row r="188" customFormat="false" ht="15" hidden="false" customHeight="false" outlineLevel="0" collapsed="false">
      <c r="A188" s="21"/>
      <c r="B188" s="22"/>
      <c r="C188" s="23"/>
      <c r="D188" s="19" t="str">
        <f aca="false">IF($A188="","",IFERROR(IF(INDEX(tblKasa[Tarih],ROW($A188)-ROW(tblKasa[[#Headers],[Tarih]])+1)=0,RaporTarihi,INDEX(tblKasa[Tarih],ROW($A188)-ROW(tblKasa[[#Headers],[Tarih]])+1))-$A188,RaporTarihi-$A188))</f>
        <v/>
      </c>
      <c r="E188" s="18" t="n">
        <f aca="false">IF($C188="",0,ROUND($C188*$D188,0))</f>
        <v>0</v>
      </c>
      <c r="F188" s="22"/>
    </row>
    <row r="189" customFormat="false" ht="15" hidden="false" customHeight="false" outlineLevel="0" collapsed="false">
      <c r="A189" s="21"/>
      <c r="B189" s="22"/>
      <c r="C189" s="23"/>
      <c r="D189" s="19" t="str">
        <f aca="false">IF($A189="","",IFERROR(IF(INDEX(tblKasa[Tarih],ROW($A189)-ROW(tblKasa[[#Headers],[Tarih]])+1)=0,RaporTarihi,INDEX(tblKasa[Tarih],ROW($A189)-ROW(tblKasa[[#Headers],[Tarih]])+1))-$A189,RaporTarihi-$A189))</f>
        <v/>
      </c>
      <c r="E189" s="18" t="n">
        <f aca="false">IF($C189="",0,ROUND($C189*$D189,0))</f>
        <v>0</v>
      </c>
      <c r="F189" s="22"/>
    </row>
    <row r="190" customFormat="false" ht="15" hidden="false" customHeight="false" outlineLevel="0" collapsed="false">
      <c r="A190" s="21"/>
      <c r="B190" s="22"/>
      <c r="C190" s="23"/>
      <c r="D190" s="19" t="str">
        <f aca="false">IF($A190="","",IFERROR(IF(INDEX(tblKasa[Tarih],ROW($A190)-ROW(tblKasa[[#Headers],[Tarih]])+1)=0,RaporTarihi,INDEX(tblKasa[Tarih],ROW($A190)-ROW(tblKasa[[#Headers],[Tarih]])+1))-$A190,RaporTarihi-$A190))</f>
        <v/>
      </c>
      <c r="E190" s="18" t="n">
        <f aca="false">IF($C190="",0,ROUND($C190*$D190,0))</f>
        <v>0</v>
      </c>
      <c r="F190" s="22"/>
    </row>
    <row r="191" customFormat="false" ht="15" hidden="false" customHeight="false" outlineLevel="0" collapsed="false">
      <c r="A191" s="21"/>
      <c r="B191" s="22"/>
      <c r="C191" s="23"/>
      <c r="D191" s="19" t="str">
        <f aca="false">IF($A191="","",IFERROR(IF(INDEX(tblKasa[Tarih],ROW($A191)-ROW(tblKasa[[#Headers],[Tarih]])+1)=0,RaporTarihi,INDEX(tblKasa[Tarih],ROW($A191)-ROW(tblKasa[[#Headers],[Tarih]])+1))-$A191,RaporTarihi-$A191))</f>
        <v/>
      </c>
      <c r="E191" s="18" t="n">
        <f aca="false">IF($C191="",0,ROUND($C191*$D191,0))</f>
        <v>0</v>
      </c>
      <c r="F191" s="22"/>
    </row>
    <row r="192" customFormat="false" ht="15" hidden="false" customHeight="false" outlineLevel="0" collapsed="false">
      <c r="A192" s="21"/>
      <c r="B192" s="22"/>
      <c r="C192" s="23"/>
      <c r="D192" s="19" t="str">
        <f aca="false">IF($A192="","",IFERROR(IF(INDEX(tblKasa[Tarih],ROW($A192)-ROW(tblKasa[[#Headers],[Tarih]])+1)=0,RaporTarihi,INDEX(tblKasa[Tarih],ROW($A192)-ROW(tblKasa[[#Headers],[Tarih]])+1))-$A192,RaporTarihi-$A192))</f>
        <v/>
      </c>
      <c r="E192" s="18" t="n">
        <f aca="false">IF($C192="",0,ROUND($C192*$D192,0))</f>
        <v>0</v>
      </c>
      <c r="F192" s="22"/>
    </row>
    <row r="193" customFormat="false" ht="15" hidden="false" customHeight="false" outlineLevel="0" collapsed="false">
      <c r="A193" s="21"/>
      <c r="B193" s="22"/>
      <c r="C193" s="23"/>
      <c r="D193" s="19" t="str">
        <f aca="false">IF($A193="","",IFERROR(IF(INDEX(tblKasa[Tarih],ROW($A193)-ROW(tblKasa[[#Headers],[Tarih]])+1)=0,RaporTarihi,INDEX(tblKasa[Tarih],ROW($A193)-ROW(tblKasa[[#Headers],[Tarih]])+1))-$A193,RaporTarihi-$A193))</f>
        <v/>
      </c>
      <c r="E193" s="18" t="n">
        <f aca="false">IF($C193="",0,ROUND($C193*$D193,0))</f>
        <v>0</v>
      </c>
      <c r="F193" s="22"/>
    </row>
    <row r="194" customFormat="false" ht="15" hidden="false" customHeight="false" outlineLevel="0" collapsed="false">
      <c r="A194" s="21"/>
      <c r="B194" s="22"/>
      <c r="C194" s="23"/>
      <c r="D194" s="19" t="str">
        <f aca="false">IF($A194="","",IFERROR(IF(INDEX(tblKasa[Tarih],ROW($A194)-ROW(tblKasa[[#Headers],[Tarih]])+1)=0,RaporTarihi,INDEX(tblKasa[Tarih],ROW($A194)-ROW(tblKasa[[#Headers],[Tarih]])+1))-$A194,RaporTarihi-$A194))</f>
        <v/>
      </c>
      <c r="E194" s="18" t="n">
        <f aca="false">IF($C194="",0,ROUND($C194*$D194,0))</f>
        <v>0</v>
      </c>
      <c r="F194" s="22"/>
    </row>
    <row r="195" customFormat="false" ht="15" hidden="false" customHeight="false" outlineLevel="0" collapsed="false">
      <c r="A195" s="21"/>
      <c r="B195" s="22"/>
      <c r="C195" s="23"/>
      <c r="D195" s="19" t="str">
        <f aca="false">IF($A195="","",IFERROR(IF(INDEX(tblKasa[Tarih],ROW($A195)-ROW(tblKasa[[#Headers],[Tarih]])+1)=0,RaporTarihi,INDEX(tblKasa[Tarih],ROW($A195)-ROW(tblKasa[[#Headers],[Tarih]])+1))-$A195,RaporTarihi-$A195))</f>
        <v/>
      </c>
      <c r="E195" s="18" t="n">
        <f aca="false">IF($C195="",0,ROUND($C195*$D195,0))</f>
        <v>0</v>
      </c>
      <c r="F195" s="22"/>
    </row>
    <row r="196" customFormat="false" ht="15" hidden="false" customHeight="false" outlineLevel="0" collapsed="false">
      <c r="A196" s="21"/>
      <c r="B196" s="22"/>
      <c r="C196" s="23"/>
      <c r="D196" s="19" t="str">
        <f aca="false">IF($A196="","",IFERROR(IF(INDEX(tblKasa[Tarih],ROW($A196)-ROW(tblKasa[[#Headers],[Tarih]])+1)=0,RaporTarihi,INDEX(tblKasa[Tarih],ROW($A196)-ROW(tblKasa[[#Headers],[Tarih]])+1))-$A196,RaporTarihi-$A196))</f>
        <v/>
      </c>
      <c r="E196" s="18" t="n">
        <f aca="false">IF($C196="",0,ROUND($C196*$D196,0))</f>
        <v>0</v>
      </c>
      <c r="F196" s="22"/>
    </row>
    <row r="197" customFormat="false" ht="15" hidden="false" customHeight="false" outlineLevel="0" collapsed="false">
      <c r="A197" s="21"/>
      <c r="B197" s="22"/>
      <c r="C197" s="23"/>
      <c r="D197" s="19" t="str">
        <f aca="false">IF($A197="","",IFERROR(IF(INDEX(tblKasa[Tarih],ROW($A197)-ROW(tblKasa[[#Headers],[Tarih]])+1)=0,RaporTarihi,INDEX(tblKasa[Tarih],ROW($A197)-ROW(tblKasa[[#Headers],[Tarih]])+1))-$A197,RaporTarihi-$A197))</f>
        <v/>
      </c>
      <c r="E197" s="18" t="n">
        <f aca="false">IF($C197="",0,ROUND($C197*$D197,0))</f>
        <v>0</v>
      </c>
      <c r="F197" s="22"/>
    </row>
    <row r="198" customFormat="false" ht="15" hidden="false" customHeight="false" outlineLevel="0" collapsed="false">
      <c r="A198" s="21"/>
      <c r="B198" s="22"/>
      <c r="C198" s="23"/>
      <c r="D198" s="19" t="str">
        <f aca="false">IF($A198="","",IFERROR(IF(INDEX(tblKasa[Tarih],ROW($A198)-ROW(tblKasa[[#Headers],[Tarih]])+1)=0,RaporTarihi,INDEX(tblKasa[Tarih],ROW($A198)-ROW(tblKasa[[#Headers],[Tarih]])+1))-$A198,RaporTarihi-$A198))</f>
        <v/>
      </c>
      <c r="E198" s="18" t="n">
        <f aca="false">IF($C198="",0,ROUND($C198*$D198,0))</f>
        <v>0</v>
      </c>
      <c r="F198" s="22"/>
    </row>
    <row r="199" customFormat="false" ht="15" hidden="false" customHeight="false" outlineLevel="0" collapsed="false">
      <c r="A199" s="21"/>
      <c r="B199" s="22"/>
      <c r="C199" s="23"/>
      <c r="D199" s="19" t="str">
        <f aca="false">IF($A199="","",IFERROR(IF(INDEX(tblKasa[Tarih],ROW($A199)-ROW(tblKasa[[#Headers],[Tarih]])+1)=0,RaporTarihi,INDEX(tblKasa[Tarih],ROW($A199)-ROW(tblKasa[[#Headers],[Tarih]])+1))-$A199,RaporTarihi-$A199))</f>
        <v/>
      </c>
      <c r="E199" s="18" t="n">
        <f aca="false">IF($C199="",0,ROUND($C199*$D199,0))</f>
        <v>0</v>
      </c>
      <c r="F199" s="22"/>
    </row>
    <row r="200" customFormat="false" ht="15" hidden="false" customHeight="false" outlineLevel="0" collapsed="false">
      <c r="A200" s="21"/>
      <c r="B200" s="22"/>
      <c r="C200" s="23"/>
      <c r="D200" s="19" t="str">
        <f aca="false">IF($A200="","",IFERROR(IF(INDEX(tblKasa[Tarih],ROW($A200)-ROW(tblKasa[[#Headers],[Tarih]])+1)=0,RaporTarihi,INDEX(tblKasa[Tarih],ROW($A200)-ROW(tblKasa[[#Headers],[Tarih]])+1))-$A200,RaporTarihi-$A200))</f>
        <v/>
      </c>
      <c r="E200" s="18" t="n">
        <f aca="false">IF($C200="",0,ROUND($C200*$D200,0))</f>
        <v>0</v>
      </c>
      <c r="F200" s="22"/>
    </row>
    <row r="201" customFormat="false" ht="15" hidden="false" customHeight="false" outlineLevel="0" collapsed="false">
      <c r="A201" s="21"/>
      <c r="B201" s="22"/>
      <c r="C201" s="23"/>
      <c r="D201" s="19" t="str">
        <f aca="false">IF($A201="","",IFERROR(IF(INDEX(tblKasa[Tarih],ROW($A201)-ROW(tblKasa[[#Headers],[Tarih]])+1)=0,RaporTarihi,INDEX(tblKasa[Tarih],ROW($A201)-ROW(tblKasa[[#Headers],[Tarih]])+1))-$A201,RaporTarihi-$A201))</f>
        <v/>
      </c>
      <c r="E201" s="18" t="n">
        <f aca="false">IF($C201="",0,ROUND($C201*$D201,0))</f>
        <v>0</v>
      </c>
      <c r="F201" s="22"/>
    </row>
    <row r="202" customFormat="false" ht="15" hidden="false" customHeight="false" outlineLevel="0" collapsed="false">
      <c r="A202" s="21"/>
      <c r="B202" s="22"/>
      <c r="C202" s="23"/>
      <c r="D202" s="19" t="str">
        <f aca="false">IF($A202="","",IFERROR(IF(INDEX(tblKasa[Tarih],ROW($A202)-ROW(tblKasa[[#Headers],[Tarih]])+1)=0,RaporTarihi,INDEX(tblKasa[Tarih],ROW($A202)-ROW(tblKasa[[#Headers],[Tarih]])+1))-$A202,RaporTarihi-$A202))</f>
        <v/>
      </c>
      <c r="E202" s="18" t="n">
        <f aca="false">IF($C202="",0,ROUND($C202*$D202,0))</f>
        <v>0</v>
      </c>
      <c r="F202" s="22"/>
    </row>
    <row r="203" customFormat="false" ht="15" hidden="false" customHeight="false" outlineLevel="0" collapsed="false">
      <c r="A203" s="21"/>
      <c r="B203" s="22"/>
      <c r="C203" s="23"/>
      <c r="D203" s="19" t="str">
        <f aca="false">IF($A203="","",IFERROR(IF(INDEX(tblKasa[Tarih],ROW($A203)-ROW(tblKasa[[#Headers],[Tarih]])+1)=0,RaporTarihi,INDEX(tblKasa[Tarih],ROW($A203)-ROW(tblKasa[[#Headers],[Tarih]])+1))-$A203,RaporTarihi-$A203))</f>
        <v/>
      </c>
      <c r="E203" s="18" t="n">
        <f aca="false">IF($C203="",0,ROUND($C203*$D203,0))</f>
        <v>0</v>
      </c>
      <c r="F203" s="22"/>
    </row>
    <row r="204" customFormat="false" ht="15" hidden="false" customHeight="false" outlineLevel="0" collapsed="false">
      <c r="A204" s="21"/>
      <c r="B204" s="22"/>
      <c r="C204" s="23"/>
      <c r="D204" s="19" t="str">
        <f aca="false">IF($A204="","",IFERROR(IF(INDEX(tblKasa[Tarih],ROW($A204)-ROW(tblKasa[[#Headers],[Tarih]])+1)=0,RaporTarihi,INDEX(tblKasa[Tarih],ROW($A204)-ROW(tblKasa[[#Headers],[Tarih]])+1))-$A204,RaporTarihi-$A204))</f>
        <v/>
      </c>
      <c r="E204" s="18" t="n">
        <f aca="false">IF($C204="",0,ROUND($C204*$D204,0))</f>
        <v>0</v>
      </c>
      <c r="F204" s="22"/>
    </row>
    <row r="205" customFormat="false" ht="15" hidden="false" customHeight="false" outlineLevel="0" collapsed="false">
      <c r="A205" s="21"/>
      <c r="B205" s="22"/>
      <c r="C205" s="23"/>
      <c r="D205" s="19" t="str">
        <f aca="false">IF($A205="","",IFERROR(IF(INDEX(tblKasa[Tarih],ROW($A205)-ROW(tblKasa[[#Headers],[Tarih]])+1)=0,RaporTarihi,INDEX(tblKasa[Tarih],ROW($A205)-ROW(tblKasa[[#Headers],[Tarih]])+1))-$A205,RaporTarihi-$A205))</f>
        <v/>
      </c>
      <c r="E205" s="18" t="n">
        <f aca="false">IF($C205="",0,ROUND($C205*$D205,0))</f>
        <v>0</v>
      </c>
      <c r="F205" s="22"/>
    </row>
    <row r="206" customFormat="false" ht="15" hidden="false" customHeight="false" outlineLevel="0" collapsed="false">
      <c r="A206" s="21"/>
      <c r="B206" s="22"/>
      <c r="C206" s="23"/>
      <c r="D206" s="19" t="str">
        <f aca="false">IF($A206="","",IFERROR(IF(INDEX(tblKasa[Tarih],ROW($A206)-ROW(tblKasa[[#Headers],[Tarih]])+1)=0,RaporTarihi,INDEX(tblKasa[Tarih],ROW($A206)-ROW(tblKasa[[#Headers],[Tarih]])+1))-$A206,RaporTarihi-$A206))</f>
        <v/>
      </c>
      <c r="E206" s="18" t="n">
        <f aca="false">IF($C206="",0,ROUND($C206*$D206,0))</f>
        <v>0</v>
      </c>
      <c r="F206" s="22"/>
    </row>
    <row r="207" customFormat="false" ht="15" hidden="false" customHeight="false" outlineLevel="0" collapsed="false">
      <c r="A207" s="21"/>
      <c r="B207" s="22"/>
      <c r="C207" s="23"/>
      <c r="D207" s="19" t="str">
        <f aca="false">IF($A207="","",IFERROR(IF(INDEX(tblKasa[Tarih],ROW($A207)-ROW(tblKasa[[#Headers],[Tarih]])+1)=0,RaporTarihi,INDEX(tblKasa[Tarih],ROW($A207)-ROW(tblKasa[[#Headers],[Tarih]])+1))-$A207,RaporTarihi-$A207))</f>
        <v/>
      </c>
      <c r="E207" s="18" t="n">
        <f aca="false">IF($C207="",0,ROUND($C207*$D207,0))</f>
        <v>0</v>
      </c>
      <c r="F207" s="22"/>
    </row>
    <row r="208" customFormat="false" ht="15" hidden="false" customHeight="false" outlineLevel="0" collapsed="false">
      <c r="A208" s="21"/>
      <c r="B208" s="22"/>
      <c r="C208" s="23"/>
      <c r="D208" s="19" t="str">
        <f aca="false">IF($A208="","",IFERROR(IF(INDEX(tblKasa[Tarih],ROW($A208)-ROW(tblKasa[[#Headers],[Tarih]])+1)=0,RaporTarihi,INDEX(tblKasa[Tarih],ROW($A208)-ROW(tblKasa[[#Headers],[Tarih]])+1))-$A208,RaporTarihi-$A208))</f>
        <v/>
      </c>
      <c r="E208" s="18" t="n">
        <f aca="false">IF($C208="",0,ROUND($C208*$D208,0))</f>
        <v>0</v>
      </c>
      <c r="F208" s="22"/>
    </row>
    <row r="209" customFormat="false" ht="15" hidden="false" customHeight="false" outlineLevel="0" collapsed="false">
      <c r="A209" s="21"/>
      <c r="B209" s="22"/>
      <c r="C209" s="23"/>
      <c r="D209" s="19" t="str">
        <f aca="false">IF($A209="","",IFERROR(IF(INDEX(tblKasa[Tarih],ROW($A209)-ROW(tblKasa[[#Headers],[Tarih]])+1)=0,RaporTarihi,INDEX(tblKasa[Tarih],ROW($A209)-ROW(tblKasa[[#Headers],[Tarih]])+1))-$A209,RaporTarihi-$A209))</f>
        <v/>
      </c>
      <c r="E209" s="18" t="n">
        <f aca="false">IF($C209="",0,ROUND($C209*$D209,0))</f>
        <v>0</v>
      </c>
      <c r="F209" s="22"/>
    </row>
    <row r="210" customFormat="false" ht="15" hidden="false" customHeight="false" outlineLevel="0" collapsed="false">
      <c r="A210" s="21"/>
      <c r="B210" s="22"/>
      <c r="C210" s="23"/>
      <c r="D210" s="19" t="str">
        <f aca="false">IF($A210="","",IFERROR(IF(INDEX(tblKasa[Tarih],ROW($A210)-ROW(tblKasa[[#Headers],[Tarih]])+1)=0,RaporTarihi,INDEX(tblKasa[Tarih],ROW($A210)-ROW(tblKasa[[#Headers],[Tarih]])+1))-$A210,RaporTarihi-$A210))</f>
        <v/>
      </c>
      <c r="E210" s="18" t="n">
        <f aca="false">IF($C210="",0,ROUND($C210*$D210,0))</f>
        <v>0</v>
      </c>
      <c r="F210" s="22"/>
    </row>
    <row r="211" customFormat="false" ht="15" hidden="false" customHeight="false" outlineLevel="0" collapsed="false">
      <c r="A211" s="21"/>
      <c r="B211" s="22"/>
      <c r="C211" s="23"/>
      <c r="D211" s="19" t="str">
        <f aca="false">IF($A211="","",IFERROR(IF(INDEX(tblKasa[Tarih],ROW($A211)-ROW(tblKasa[[#Headers],[Tarih]])+1)=0,RaporTarihi,INDEX(tblKasa[Tarih],ROW($A211)-ROW(tblKasa[[#Headers],[Tarih]])+1))-$A211,RaporTarihi-$A211))</f>
        <v/>
      </c>
      <c r="E211" s="18" t="n">
        <f aca="false">IF($C211="",0,ROUND($C211*$D211,0))</f>
        <v>0</v>
      </c>
      <c r="F211" s="22"/>
    </row>
    <row r="212" customFormat="false" ht="15" hidden="false" customHeight="false" outlineLevel="0" collapsed="false">
      <c r="A212" s="21"/>
      <c r="B212" s="22"/>
      <c r="C212" s="23"/>
      <c r="D212" s="19" t="str">
        <f aca="false">IF($A212="","",IFERROR(IF(INDEX(tblKasa[Tarih],ROW($A212)-ROW(tblKasa[[#Headers],[Tarih]])+1)=0,RaporTarihi,INDEX(tblKasa[Tarih],ROW($A212)-ROW(tblKasa[[#Headers],[Tarih]])+1))-$A212,RaporTarihi-$A212))</f>
        <v/>
      </c>
      <c r="E212" s="18" t="n">
        <f aca="false">IF($C212="",0,ROUND($C212*$D212,0))</f>
        <v>0</v>
      </c>
      <c r="F212" s="22"/>
    </row>
    <row r="213" customFormat="false" ht="15" hidden="false" customHeight="false" outlineLevel="0" collapsed="false">
      <c r="A213" s="21"/>
      <c r="B213" s="22"/>
      <c r="C213" s="23"/>
      <c r="D213" s="19" t="str">
        <f aca="false">IF($A213="","",IFERROR(IF(INDEX(tblKasa[Tarih],ROW($A213)-ROW(tblKasa[[#Headers],[Tarih]])+1)=0,RaporTarihi,INDEX(tblKasa[Tarih],ROW($A213)-ROW(tblKasa[[#Headers],[Tarih]])+1))-$A213,RaporTarihi-$A213))</f>
        <v/>
      </c>
      <c r="E213" s="18" t="n">
        <f aca="false">IF($C213="",0,ROUND($C213*$D213,0))</f>
        <v>0</v>
      </c>
      <c r="F213" s="22"/>
    </row>
    <row r="214" customFormat="false" ht="15" hidden="false" customHeight="false" outlineLevel="0" collapsed="false">
      <c r="A214" s="21"/>
      <c r="B214" s="22"/>
      <c r="C214" s="23"/>
      <c r="D214" s="19" t="str">
        <f aca="false">IF($A214="","",IFERROR(IF(INDEX(tblKasa[Tarih],ROW($A214)-ROW(tblKasa[[#Headers],[Tarih]])+1)=0,RaporTarihi,INDEX(tblKasa[Tarih],ROW($A214)-ROW(tblKasa[[#Headers],[Tarih]])+1))-$A214,RaporTarihi-$A214))</f>
        <v/>
      </c>
      <c r="E214" s="18" t="n">
        <f aca="false">IF($C214="",0,ROUND($C214*$D214,0))</f>
        <v>0</v>
      </c>
      <c r="F214" s="22"/>
    </row>
    <row r="215" customFormat="false" ht="15" hidden="false" customHeight="false" outlineLevel="0" collapsed="false">
      <c r="A215" s="21"/>
      <c r="B215" s="22"/>
      <c r="C215" s="23"/>
      <c r="D215" s="19" t="str">
        <f aca="false">IF($A215="","",IFERROR(IF(INDEX(tblKasa[Tarih],ROW($A215)-ROW(tblKasa[[#Headers],[Tarih]])+1)=0,RaporTarihi,INDEX(tblKasa[Tarih],ROW($A215)-ROW(tblKasa[[#Headers],[Tarih]])+1))-$A215,RaporTarihi-$A215))</f>
        <v/>
      </c>
      <c r="E215" s="18" t="n">
        <f aca="false">IF($C215="",0,ROUND($C215*$D215,0))</f>
        <v>0</v>
      </c>
      <c r="F215" s="22"/>
    </row>
    <row r="216" customFormat="false" ht="15" hidden="false" customHeight="false" outlineLevel="0" collapsed="false">
      <c r="A216" s="21"/>
      <c r="B216" s="22"/>
      <c r="C216" s="23"/>
      <c r="D216" s="19" t="str">
        <f aca="false">IF($A216="","",IFERROR(IF(INDEX(tblKasa[Tarih],ROW($A216)-ROW(tblKasa[[#Headers],[Tarih]])+1)=0,RaporTarihi,INDEX(tblKasa[Tarih],ROW($A216)-ROW(tblKasa[[#Headers],[Tarih]])+1))-$A216,RaporTarihi-$A216))</f>
        <v/>
      </c>
      <c r="E216" s="18" t="n">
        <f aca="false">IF($C216="",0,ROUND($C216*$D216,0))</f>
        <v>0</v>
      </c>
      <c r="F216" s="22"/>
    </row>
    <row r="217" customFormat="false" ht="15" hidden="false" customHeight="false" outlineLevel="0" collapsed="false">
      <c r="A217" s="21"/>
      <c r="B217" s="22"/>
      <c r="C217" s="23"/>
      <c r="D217" s="19" t="str">
        <f aca="false">IF($A217="","",IFERROR(IF(INDEX(tblKasa[Tarih],ROW($A217)-ROW(tblKasa[[#Headers],[Tarih]])+1)=0,RaporTarihi,INDEX(tblKasa[Tarih],ROW($A217)-ROW(tblKasa[[#Headers],[Tarih]])+1))-$A217,RaporTarihi-$A217))</f>
        <v/>
      </c>
      <c r="E217" s="18" t="n">
        <f aca="false">IF($C217="",0,ROUND($C217*$D217,0))</f>
        <v>0</v>
      </c>
      <c r="F217" s="22"/>
    </row>
    <row r="218" customFormat="false" ht="15" hidden="false" customHeight="false" outlineLevel="0" collapsed="false">
      <c r="A218" s="21"/>
      <c r="B218" s="22"/>
      <c r="C218" s="23"/>
      <c r="D218" s="19" t="str">
        <f aca="false">IF($A218="","",IFERROR(IF(INDEX(tblKasa[Tarih],ROW($A218)-ROW(tblKasa[[#Headers],[Tarih]])+1)=0,RaporTarihi,INDEX(tblKasa[Tarih],ROW($A218)-ROW(tblKasa[[#Headers],[Tarih]])+1))-$A218,RaporTarihi-$A218))</f>
        <v/>
      </c>
      <c r="E218" s="18" t="n">
        <f aca="false">IF($C218="",0,ROUND($C218*$D218,0))</f>
        <v>0</v>
      </c>
      <c r="F218" s="22"/>
    </row>
    <row r="219" customFormat="false" ht="15" hidden="false" customHeight="false" outlineLevel="0" collapsed="false">
      <c r="A219" s="21"/>
      <c r="B219" s="22"/>
      <c r="C219" s="23"/>
      <c r="D219" s="19" t="str">
        <f aca="false">IF($A219="","",IFERROR(IF(INDEX(tblKasa[Tarih],ROW($A219)-ROW(tblKasa[[#Headers],[Tarih]])+1)=0,RaporTarihi,INDEX(tblKasa[Tarih],ROW($A219)-ROW(tblKasa[[#Headers],[Tarih]])+1))-$A219,RaporTarihi-$A219))</f>
        <v/>
      </c>
      <c r="E219" s="18" t="n">
        <f aca="false">IF($C219="",0,ROUND($C219*$D219,0))</f>
        <v>0</v>
      </c>
      <c r="F219" s="22"/>
    </row>
    <row r="220" customFormat="false" ht="15" hidden="false" customHeight="false" outlineLevel="0" collapsed="false">
      <c r="A220" s="21"/>
      <c r="B220" s="22"/>
      <c r="C220" s="23"/>
      <c r="D220" s="19" t="str">
        <f aca="false">IF($A220="","",IFERROR(IF(INDEX(tblKasa[Tarih],ROW($A220)-ROW(tblKasa[[#Headers],[Tarih]])+1)=0,RaporTarihi,INDEX(tblKasa[Tarih],ROW($A220)-ROW(tblKasa[[#Headers],[Tarih]])+1))-$A220,RaporTarihi-$A220))</f>
        <v/>
      </c>
      <c r="E220" s="18" t="n">
        <f aca="false">IF($C220="",0,ROUND($C220*$D220,0))</f>
        <v>0</v>
      </c>
      <c r="F220" s="22"/>
    </row>
    <row r="221" customFormat="false" ht="15" hidden="false" customHeight="false" outlineLevel="0" collapsed="false">
      <c r="A221" s="21"/>
      <c r="B221" s="22"/>
      <c r="C221" s="23"/>
      <c r="D221" s="19" t="str">
        <f aca="false">IF($A221="","",IFERROR(IF(INDEX(tblKasa[Tarih],ROW($A221)-ROW(tblKasa[[#Headers],[Tarih]])+1)=0,RaporTarihi,INDEX(tblKasa[Tarih],ROW($A221)-ROW(tblKasa[[#Headers],[Tarih]])+1))-$A221,RaporTarihi-$A221))</f>
        <v/>
      </c>
      <c r="E221" s="18" t="n">
        <f aca="false">IF($C221="",0,ROUND($C221*$D221,0))</f>
        <v>0</v>
      </c>
      <c r="F221" s="22"/>
    </row>
    <row r="222" customFormat="false" ht="15" hidden="false" customHeight="false" outlineLevel="0" collapsed="false">
      <c r="A222" s="21"/>
      <c r="B222" s="22"/>
      <c r="C222" s="23"/>
      <c r="D222" s="19" t="str">
        <f aca="false">IF($A222="","",IFERROR(IF(INDEX(tblKasa[Tarih],ROW($A222)-ROW(tblKasa[[#Headers],[Tarih]])+1)=0,RaporTarihi,INDEX(tblKasa[Tarih],ROW($A222)-ROW(tblKasa[[#Headers],[Tarih]])+1))-$A222,RaporTarihi-$A222))</f>
        <v/>
      </c>
      <c r="E222" s="18" t="n">
        <f aca="false">IF($C222="",0,ROUND($C222*$D222,0))</f>
        <v>0</v>
      </c>
      <c r="F222" s="22"/>
    </row>
    <row r="223" customFormat="false" ht="15" hidden="false" customHeight="false" outlineLevel="0" collapsed="false">
      <c r="A223" s="21"/>
      <c r="B223" s="22"/>
      <c r="C223" s="23"/>
      <c r="D223" s="19" t="str">
        <f aca="false">IF($A223="","",IFERROR(IF(INDEX(tblKasa[Tarih],ROW($A223)-ROW(tblKasa[[#Headers],[Tarih]])+1)=0,RaporTarihi,INDEX(tblKasa[Tarih],ROW($A223)-ROW(tblKasa[[#Headers],[Tarih]])+1))-$A223,RaporTarihi-$A223))</f>
        <v/>
      </c>
      <c r="E223" s="18" t="n">
        <f aca="false">IF($C223="",0,ROUND($C223*$D223,0))</f>
        <v>0</v>
      </c>
      <c r="F223" s="22"/>
    </row>
    <row r="224" customFormat="false" ht="15" hidden="false" customHeight="false" outlineLevel="0" collapsed="false">
      <c r="A224" s="21"/>
      <c r="B224" s="22"/>
      <c r="C224" s="23"/>
      <c r="D224" s="19" t="str">
        <f aca="false">IF($A224="","",IFERROR(IF(INDEX(tblKasa[Tarih],ROW($A224)-ROW(tblKasa[[#Headers],[Tarih]])+1)=0,RaporTarihi,INDEX(tblKasa[Tarih],ROW($A224)-ROW(tblKasa[[#Headers],[Tarih]])+1))-$A224,RaporTarihi-$A224))</f>
        <v/>
      </c>
      <c r="E224" s="18" t="n">
        <f aca="false">IF($C224="",0,ROUND($C224*$D224,0))</f>
        <v>0</v>
      </c>
      <c r="F224" s="22"/>
    </row>
    <row r="225" customFormat="false" ht="15" hidden="false" customHeight="false" outlineLevel="0" collapsed="false">
      <c r="A225" s="21"/>
      <c r="B225" s="22"/>
      <c r="C225" s="23"/>
      <c r="D225" s="19" t="str">
        <f aca="false">IF($A225="","",IFERROR(IF(INDEX(tblKasa[Tarih],ROW($A225)-ROW(tblKasa[[#Headers],[Tarih]])+1)=0,RaporTarihi,INDEX(tblKasa[Tarih],ROW($A225)-ROW(tblKasa[[#Headers],[Tarih]])+1))-$A225,RaporTarihi-$A225))</f>
        <v/>
      </c>
      <c r="E225" s="18" t="n">
        <f aca="false">IF($C225="",0,ROUND($C225*$D225,0))</f>
        <v>0</v>
      </c>
      <c r="F225" s="22"/>
    </row>
    <row r="226" customFormat="false" ht="15" hidden="false" customHeight="false" outlineLevel="0" collapsed="false">
      <c r="A226" s="21"/>
      <c r="B226" s="22"/>
      <c r="C226" s="23"/>
      <c r="D226" s="19" t="str">
        <f aca="false">IF($A226="","",IFERROR(IF(INDEX(tblKasa[Tarih],ROW($A226)-ROW(tblKasa[[#Headers],[Tarih]])+1)=0,RaporTarihi,INDEX(tblKasa[Tarih],ROW($A226)-ROW(tblKasa[[#Headers],[Tarih]])+1))-$A226,RaporTarihi-$A226))</f>
        <v/>
      </c>
      <c r="E226" s="18" t="n">
        <f aca="false">IF($C226="",0,ROUND($C226*$D226,0))</f>
        <v>0</v>
      </c>
      <c r="F226" s="22"/>
    </row>
    <row r="227" customFormat="false" ht="15" hidden="false" customHeight="false" outlineLevel="0" collapsed="false">
      <c r="A227" s="21"/>
      <c r="B227" s="22"/>
      <c r="C227" s="23"/>
      <c r="D227" s="19" t="str">
        <f aca="false">IF($A227="","",IFERROR(IF(INDEX(tblKasa[Tarih],ROW($A227)-ROW(tblKasa[[#Headers],[Tarih]])+1)=0,RaporTarihi,INDEX(tblKasa[Tarih],ROW($A227)-ROW(tblKasa[[#Headers],[Tarih]])+1))-$A227,RaporTarihi-$A227))</f>
        <v/>
      </c>
      <c r="E227" s="18" t="n">
        <f aca="false">IF($C227="",0,ROUND($C227*$D227,0))</f>
        <v>0</v>
      </c>
      <c r="F227" s="22"/>
    </row>
    <row r="228" customFormat="false" ht="15" hidden="false" customHeight="false" outlineLevel="0" collapsed="false">
      <c r="A228" s="21"/>
      <c r="B228" s="22"/>
      <c r="C228" s="23"/>
      <c r="D228" s="19" t="str">
        <f aca="false">IF($A228="","",IFERROR(IF(INDEX(tblKasa[Tarih],ROW($A228)-ROW(tblKasa[[#Headers],[Tarih]])+1)=0,RaporTarihi,INDEX(tblKasa[Tarih],ROW($A228)-ROW(tblKasa[[#Headers],[Tarih]])+1))-$A228,RaporTarihi-$A228))</f>
        <v/>
      </c>
      <c r="E228" s="18" t="n">
        <f aca="false">IF($C228="",0,ROUND($C228*$D228,0))</f>
        <v>0</v>
      </c>
      <c r="F228" s="22"/>
    </row>
    <row r="229" customFormat="false" ht="15" hidden="false" customHeight="false" outlineLevel="0" collapsed="false">
      <c r="A229" s="21"/>
      <c r="B229" s="22"/>
      <c r="C229" s="23"/>
      <c r="D229" s="19" t="str">
        <f aca="false">IF($A229="","",IFERROR(IF(INDEX(tblKasa[Tarih],ROW($A229)-ROW(tblKasa[[#Headers],[Tarih]])+1)=0,RaporTarihi,INDEX(tblKasa[Tarih],ROW($A229)-ROW(tblKasa[[#Headers],[Tarih]])+1))-$A229,RaporTarihi-$A229))</f>
        <v/>
      </c>
      <c r="E229" s="18" t="n">
        <f aca="false">IF($C229="",0,ROUND($C229*$D229,0))</f>
        <v>0</v>
      </c>
      <c r="F229" s="22"/>
    </row>
    <row r="230" customFormat="false" ht="15" hidden="false" customHeight="false" outlineLevel="0" collapsed="false">
      <c r="A230" s="21"/>
      <c r="B230" s="22"/>
      <c r="C230" s="23"/>
      <c r="D230" s="19" t="str">
        <f aca="false">IF($A230="","",IFERROR(IF(INDEX(tblKasa[Tarih],ROW($A230)-ROW(tblKasa[[#Headers],[Tarih]])+1)=0,RaporTarihi,INDEX(tblKasa[Tarih],ROW($A230)-ROW(tblKasa[[#Headers],[Tarih]])+1))-$A230,RaporTarihi-$A230))</f>
        <v/>
      </c>
      <c r="E230" s="18" t="n">
        <f aca="false">IF($C230="",0,ROUND($C230*$D230,0))</f>
        <v>0</v>
      </c>
      <c r="F230" s="22"/>
    </row>
    <row r="231" customFormat="false" ht="15" hidden="false" customHeight="false" outlineLevel="0" collapsed="false">
      <c r="A231" s="21"/>
      <c r="B231" s="22"/>
      <c r="C231" s="23"/>
      <c r="D231" s="19" t="str">
        <f aca="false">IF($A231="","",IFERROR(IF(INDEX(tblKasa[Tarih],ROW($A231)-ROW(tblKasa[[#Headers],[Tarih]])+1)=0,RaporTarihi,INDEX(tblKasa[Tarih],ROW($A231)-ROW(tblKasa[[#Headers],[Tarih]])+1))-$A231,RaporTarihi-$A231))</f>
        <v/>
      </c>
      <c r="E231" s="18" t="n">
        <f aca="false">IF($C231="",0,ROUND($C231*$D231,0))</f>
        <v>0</v>
      </c>
      <c r="F231" s="22"/>
    </row>
    <row r="232" customFormat="false" ht="15" hidden="false" customHeight="false" outlineLevel="0" collapsed="false">
      <c r="A232" s="21"/>
      <c r="B232" s="22"/>
      <c r="C232" s="23"/>
      <c r="D232" s="19" t="str">
        <f aca="false">IF($A232="","",IFERROR(IF(INDEX(tblKasa[Tarih],ROW($A232)-ROW(tblKasa[[#Headers],[Tarih]])+1)=0,RaporTarihi,INDEX(tblKasa[Tarih],ROW($A232)-ROW(tblKasa[[#Headers],[Tarih]])+1))-$A232,RaporTarihi-$A232))</f>
        <v/>
      </c>
      <c r="E232" s="18" t="n">
        <f aca="false">IF($C232="",0,ROUND($C232*$D232,0))</f>
        <v>0</v>
      </c>
      <c r="F232" s="22"/>
    </row>
    <row r="233" customFormat="false" ht="15" hidden="false" customHeight="false" outlineLevel="0" collapsed="false">
      <c r="A233" s="21"/>
      <c r="B233" s="22"/>
      <c r="C233" s="23"/>
      <c r="D233" s="19" t="str">
        <f aca="false">IF($A233="","",IFERROR(IF(INDEX(tblKasa[Tarih],ROW($A233)-ROW(tblKasa[[#Headers],[Tarih]])+1)=0,RaporTarihi,INDEX(tblKasa[Tarih],ROW($A233)-ROW(tblKasa[[#Headers],[Tarih]])+1))-$A233,RaporTarihi-$A233))</f>
        <v/>
      </c>
      <c r="E233" s="18" t="n">
        <f aca="false">IF($C233="",0,ROUND($C233*$D233,0))</f>
        <v>0</v>
      </c>
      <c r="F233" s="22"/>
    </row>
    <row r="234" customFormat="false" ht="15" hidden="false" customHeight="false" outlineLevel="0" collapsed="false">
      <c r="A234" s="21"/>
      <c r="B234" s="22"/>
      <c r="C234" s="23"/>
      <c r="D234" s="19" t="str">
        <f aca="false">IF($A234="","",IFERROR(IF(INDEX(tblKasa[Tarih],ROW($A234)-ROW(tblKasa[[#Headers],[Tarih]])+1)=0,RaporTarihi,INDEX(tblKasa[Tarih],ROW($A234)-ROW(tblKasa[[#Headers],[Tarih]])+1))-$A234,RaporTarihi-$A234))</f>
        <v/>
      </c>
      <c r="E234" s="18" t="n">
        <f aca="false">IF($C234="",0,ROUND($C234*$D234,0))</f>
        <v>0</v>
      </c>
      <c r="F234" s="22"/>
    </row>
    <row r="235" customFormat="false" ht="15" hidden="false" customHeight="false" outlineLevel="0" collapsed="false">
      <c r="A235" s="21"/>
      <c r="B235" s="22"/>
      <c r="C235" s="23"/>
      <c r="D235" s="19" t="str">
        <f aca="false">IF($A235="","",IFERROR(IF(INDEX(tblKasa[Tarih],ROW($A235)-ROW(tblKasa[[#Headers],[Tarih]])+1)=0,RaporTarihi,INDEX(tblKasa[Tarih],ROW($A235)-ROW(tblKasa[[#Headers],[Tarih]])+1))-$A235,RaporTarihi-$A235))</f>
        <v/>
      </c>
      <c r="E235" s="18" t="n">
        <f aca="false">IF($C235="",0,ROUND($C235*$D235,0))</f>
        <v>0</v>
      </c>
      <c r="F235" s="22"/>
    </row>
    <row r="236" customFormat="false" ht="15" hidden="false" customHeight="false" outlineLevel="0" collapsed="false">
      <c r="A236" s="21"/>
      <c r="B236" s="22"/>
      <c r="C236" s="23"/>
      <c r="D236" s="19" t="str">
        <f aca="false">IF($A236="","",IFERROR(IF(INDEX(tblKasa[Tarih],ROW($A236)-ROW(tblKasa[[#Headers],[Tarih]])+1)=0,RaporTarihi,INDEX(tblKasa[Tarih],ROW($A236)-ROW(tblKasa[[#Headers],[Tarih]])+1))-$A236,RaporTarihi-$A236))</f>
        <v/>
      </c>
      <c r="E236" s="18" t="n">
        <f aca="false">IF($C236="",0,ROUND($C236*$D236,0))</f>
        <v>0</v>
      </c>
      <c r="F236" s="22"/>
    </row>
    <row r="237" customFormat="false" ht="15" hidden="false" customHeight="false" outlineLevel="0" collapsed="false">
      <c r="A237" s="21"/>
      <c r="B237" s="22"/>
      <c r="C237" s="23"/>
      <c r="D237" s="19" t="str">
        <f aca="false">IF($A237="","",IFERROR(IF(INDEX(tblKasa[Tarih],ROW($A237)-ROW(tblKasa[[#Headers],[Tarih]])+1)=0,RaporTarihi,INDEX(tblKasa[Tarih],ROW($A237)-ROW(tblKasa[[#Headers],[Tarih]])+1))-$A237,RaporTarihi-$A237))</f>
        <v/>
      </c>
      <c r="E237" s="18" t="n">
        <f aca="false">IF($C237="",0,ROUND($C237*$D237,0))</f>
        <v>0</v>
      </c>
      <c r="F237" s="22"/>
    </row>
    <row r="238" customFormat="false" ht="15" hidden="false" customHeight="false" outlineLevel="0" collapsed="false">
      <c r="A238" s="21"/>
      <c r="B238" s="22"/>
      <c r="C238" s="23"/>
      <c r="D238" s="19" t="str">
        <f aca="false">IF($A238="","",IFERROR(IF(INDEX(tblKasa[Tarih],ROW($A238)-ROW(tblKasa[[#Headers],[Tarih]])+1)=0,RaporTarihi,INDEX(tblKasa[Tarih],ROW($A238)-ROW(tblKasa[[#Headers],[Tarih]])+1))-$A238,RaporTarihi-$A238))</f>
        <v/>
      </c>
      <c r="E238" s="18" t="n">
        <f aca="false">IF($C238="",0,ROUND($C238*$D238,0))</f>
        <v>0</v>
      </c>
      <c r="F238" s="22"/>
    </row>
    <row r="239" customFormat="false" ht="15" hidden="false" customHeight="false" outlineLevel="0" collapsed="false">
      <c r="A239" s="21"/>
      <c r="B239" s="22"/>
      <c r="C239" s="23"/>
      <c r="D239" s="19" t="str">
        <f aca="false">IF($A239="","",IFERROR(IF(INDEX(tblKasa[Tarih],ROW($A239)-ROW(tblKasa[[#Headers],[Tarih]])+1)=0,RaporTarihi,INDEX(tblKasa[Tarih],ROW($A239)-ROW(tblKasa[[#Headers],[Tarih]])+1))-$A239,RaporTarihi-$A239))</f>
        <v/>
      </c>
      <c r="E239" s="18" t="n">
        <f aca="false">IF($C239="",0,ROUND($C239*$D239,0))</f>
        <v>0</v>
      </c>
      <c r="F239" s="22"/>
    </row>
    <row r="240" customFormat="false" ht="15" hidden="false" customHeight="false" outlineLevel="0" collapsed="false">
      <c r="A240" s="21"/>
      <c r="B240" s="22"/>
      <c r="C240" s="23"/>
      <c r="D240" s="19" t="str">
        <f aca="false">IF($A240="","",IFERROR(IF(INDEX(tblKasa[Tarih],ROW($A240)-ROW(tblKasa[[#Headers],[Tarih]])+1)=0,RaporTarihi,INDEX(tblKasa[Tarih],ROW($A240)-ROW(tblKasa[[#Headers],[Tarih]])+1))-$A240,RaporTarihi-$A240))</f>
        <v/>
      </c>
      <c r="E240" s="18" t="n">
        <f aca="false">IF($C240="",0,ROUND($C240*$D240,0))</f>
        <v>0</v>
      </c>
      <c r="F240" s="22"/>
    </row>
    <row r="241" customFormat="false" ht="15" hidden="false" customHeight="false" outlineLevel="0" collapsed="false">
      <c r="A241" s="21"/>
      <c r="B241" s="22"/>
      <c r="C241" s="23"/>
      <c r="D241" s="19" t="str">
        <f aca="false">IF($A241="","",IFERROR(IF(INDEX(tblKasa[Tarih],ROW($A241)-ROW(tblKasa[[#Headers],[Tarih]])+1)=0,RaporTarihi,INDEX(tblKasa[Tarih],ROW($A241)-ROW(tblKasa[[#Headers],[Tarih]])+1))-$A241,RaporTarihi-$A241))</f>
        <v/>
      </c>
      <c r="E241" s="18" t="n">
        <f aca="false">IF($C241="",0,ROUND($C241*$D241,0))</f>
        <v>0</v>
      </c>
      <c r="F241" s="22"/>
    </row>
    <row r="242" customFormat="false" ht="15" hidden="false" customHeight="false" outlineLevel="0" collapsed="false">
      <c r="A242" s="21"/>
      <c r="B242" s="22"/>
      <c r="C242" s="23"/>
      <c r="D242" s="19" t="str">
        <f aca="false">IF($A242="","",IFERROR(IF(INDEX(tblKasa[Tarih],ROW($A242)-ROW(tblKasa[[#Headers],[Tarih]])+1)=0,RaporTarihi,INDEX(tblKasa[Tarih],ROW($A242)-ROW(tblKasa[[#Headers],[Tarih]])+1))-$A242,RaporTarihi-$A242))</f>
        <v/>
      </c>
      <c r="E242" s="18" t="n">
        <f aca="false">IF($C242="",0,ROUND($C242*$D242,0))</f>
        <v>0</v>
      </c>
      <c r="F242" s="22"/>
    </row>
    <row r="243" customFormat="false" ht="15" hidden="false" customHeight="false" outlineLevel="0" collapsed="false">
      <c r="A243" s="21"/>
      <c r="B243" s="22"/>
      <c r="C243" s="23"/>
      <c r="D243" s="19" t="str">
        <f aca="false">IF($A243="","",IFERROR(IF(INDEX(tblKasa[Tarih],ROW($A243)-ROW(tblKasa[[#Headers],[Tarih]])+1)=0,RaporTarihi,INDEX(tblKasa[Tarih],ROW($A243)-ROW(tblKasa[[#Headers],[Tarih]])+1))-$A243,RaporTarihi-$A243))</f>
        <v/>
      </c>
      <c r="E243" s="18" t="n">
        <f aca="false">IF($C243="",0,ROUND($C243*$D243,0))</f>
        <v>0</v>
      </c>
      <c r="F243" s="22"/>
    </row>
    <row r="244" customFormat="false" ht="15" hidden="false" customHeight="false" outlineLevel="0" collapsed="false">
      <c r="A244" s="21"/>
      <c r="B244" s="22"/>
      <c r="C244" s="23"/>
      <c r="D244" s="19" t="str">
        <f aca="false">IF($A244="","",IFERROR(IF(INDEX(tblKasa[Tarih],ROW($A244)-ROW(tblKasa[[#Headers],[Tarih]])+1)=0,RaporTarihi,INDEX(tblKasa[Tarih],ROW($A244)-ROW(tblKasa[[#Headers],[Tarih]])+1))-$A244,RaporTarihi-$A244))</f>
        <v/>
      </c>
      <c r="E244" s="18" t="n">
        <f aca="false">IF($C244="",0,ROUND($C244*$D244,0))</f>
        <v>0</v>
      </c>
      <c r="F244" s="22"/>
    </row>
    <row r="245" customFormat="false" ht="15" hidden="false" customHeight="false" outlineLevel="0" collapsed="false">
      <c r="A245" s="21"/>
      <c r="B245" s="22"/>
      <c r="C245" s="23"/>
      <c r="D245" s="19" t="str">
        <f aca="false">IF($A245="","",IFERROR(IF(INDEX(tblKasa[Tarih],ROW($A245)-ROW(tblKasa[[#Headers],[Tarih]])+1)=0,RaporTarihi,INDEX(tblKasa[Tarih],ROW($A245)-ROW(tblKasa[[#Headers],[Tarih]])+1))-$A245,RaporTarihi-$A245))</f>
        <v/>
      </c>
      <c r="E245" s="18" t="n">
        <f aca="false">IF($C245="",0,ROUND($C245*$D245,0))</f>
        <v>0</v>
      </c>
      <c r="F245" s="22"/>
    </row>
    <row r="246" customFormat="false" ht="15" hidden="false" customHeight="false" outlineLevel="0" collapsed="false">
      <c r="A246" s="21"/>
      <c r="B246" s="22"/>
      <c r="C246" s="23"/>
      <c r="D246" s="19" t="str">
        <f aca="false">IF($A246="","",IFERROR(IF(INDEX(tblKasa[Tarih],ROW($A246)-ROW(tblKasa[[#Headers],[Tarih]])+1)=0,RaporTarihi,INDEX(tblKasa[Tarih],ROW($A246)-ROW(tblKasa[[#Headers],[Tarih]])+1))-$A246,RaporTarihi-$A246))</f>
        <v/>
      </c>
      <c r="E246" s="18" t="n">
        <f aca="false">IF($C246="",0,ROUND($C246*$D246,0))</f>
        <v>0</v>
      </c>
      <c r="F246" s="22"/>
    </row>
    <row r="247" customFormat="false" ht="15" hidden="false" customHeight="false" outlineLevel="0" collapsed="false">
      <c r="A247" s="21"/>
      <c r="B247" s="22"/>
      <c r="C247" s="23"/>
      <c r="D247" s="19" t="str">
        <f aca="false">IF($A247="","",IFERROR(IF(INDEX(tblKasa[Tarih],ROW($A247)-ROW(tblKasa[[#Headers],[Tarih]])+1)=0,RaporTarihi,INDEX(tblKasa[Tarih],ROW($A247)-ROW(tblKasa[[#Headers],[Tarih]])+1))-$A247,RaporTarihi-$A247))</f>
        <v/>
      </c>
      <c r="E247" s="18" t="n">
        <f aca="false">IF($C247="",0,ROUND($C247*$D247,0))</f>
        <v>0</v>
      </c>
      <c r="F247" s="22"/>
    </row>
    <row r="248" customFormat="false" ht="15" hidden="false" customHeight="false" outlineLevel="0" collapsed="false">
      <c r="A248" s="21"/>
      <c r="B248" s="22"/>
      <c r="C248" s="23"/>
      <c r="D248" s="19" t="str">
        <f aca="false">IF($A248="","",IFERROR(IF(INDEX(tblKasa[Tarih],ROW($A248)-ROW(tblKasa[[#Headers],[Tarih]])+1)=0,RaporTarihi,INDEX(tblKasa[Tarih],ROW($A248)-ROW(tblKasa[[#Headers],[Tarih]])+1))-$A248,RaporTarihi-$A248))</f>
        <v/>
      </c>
      <c r="E248" s="18" t="n">
        <f aca="false">IF($C248="",0,ROUND($C248*$D248,0))</f>
        <v>0</v>
      </c>
      <c r="F248" s="22"/>
    </row>
    <row r="249" customFormat="false" ht="15" hidden="false" customHeight="false" outlineLevel="0" collapsed="false">
      <c r="A249" s="21"/>
      <c r="B249" s="22"/>
      <c r="C249" s="23"/>
      <c r="D249" s="19" t="str">
        <f aca="false">IF($A249="","",IFERROR(IF(INDEX(tblKasa[Tarih],ROW($A249)-ROW(tblKasa[[#Headers],[Tarih]])+1)=0,RaporTarihi,INDEX(tblKasa[Tarih],ROW($A249)-ROW(tblKasa[[#Headers],[Tarih]])+1))-$A249,RaporTarihi-$A249))</f>
        <v/>
      </c>
      <c r="E249" s="18" t="n">
        <f aca="false">IF($C249="",0,ROUND($C249*$D249,0))</f>
        <v>0</v>
      </c>
      <c r="F249" s="22"/>
    </row>
    <row r="250" customFormat="false" ht="15" hidden="false" customHeight="false" outlineLevel="0" collapsed="false">
      <c r="A250" s="21"/>
      <c r="B250" s="22"/>
      <c r="C250" s="23"/>
      <c r="D250" s="19" t="str">
        <f aca="false">IF($A250="","",IFERROR(IF(INDEX(tblKasa[Tarih],ROW($A250)-ROW(tblKasa[[#Headers],[Tarih]])+1)=0,RaporTarihi,INDEX(tblKasa[Tarih],ROW($A250)-ROW(tblKasa[[#Headers],[Tarih]])+1))-$A250,RaporTarihi-$A250))</f>
        <v/>
      </c>
      <c r="E250" s="18" t="n">
        <f aca="false">IF($C250="",0,ROUND($C250*$D250,0))</f>
        <v>0</v>
      </c>
      <c r="F250" s="22"/>
    </row>
    <row r="251" customFormat="false" ht="15" hidden="false" customHeight="false" outlineLevel="0" collapsed="false">
      <c r="A251" s="21"/>
      <c r="B251" s="22"/>
      <c r="C251" s="23"/>
      <c r="D251" s="19" t="str">
        <f aca="false">IF($A251="","",IFERROR(IF(INDEX(tblKasa[Tarih],ROW($A251)-ROW(tblKasa[[#Headers],[Tarih]])+1)=0,RaporTarihi,INDEX(tblKasa[Tarih],ROW($A251)-ROW(tblKasa[[#Headers],[Tarih]])+1))-$A251,RaporTarihi-$A251))</f>
        <v/>
      </c>
      <c r="E251" s="18" t="n">
        <f aca="false">IF($C251="",0,ROUND($C251*$D251,0))</f>
        <v>0</v>
      </c>
      <c r="F251" s="22"/>
    </row>
    <row r="252" customFormat="false" ht="15" hidden="false" customHeight="false" outlineLevel="0" collapsed="false">
      <c r="A252" s="21"/>
      <c r="B252" s="22"/>
      <c r="C252" s="23"/>
      <c r="D252" s="19" t="str">
        <f aca="false">IF($A252="","",IFERROR(IF(INDEX(tblKasa[Tarih],ROW($A252)-ROW(tblKasa[[#Headers],[Tarih]])+1)=0,RaporTarihi,INDEX(tblKasa[Tarih],ROW($A252)-ROW(tblKasa[[#Headers],[Tarih]])+1))-$A252,RaporTarihi-$A252))</f>
        <v/>
      </c>
      <c r="E252" s="18" t="n">
        <f aca="false">IF($C252="",0,ROUND($C252*$D252,0))</f>
        <v>0</v>
      </c>
      <c r="F252" s="22"/>
    </row>
    <row r="253" customFormat="false" ht="15" hidden="false" customHeight="false" outlineLevel="0" collapsed="false">
      <c r="A253" s="21"/>
      <c r="B253" s="22"/>
      <c r="C253" s="23"/>
      <c r="D253" s="19" t="str">
        <f aca="false">IF($A253="","",IFERROR(IF(INDEX(tblKasa[Tarih],ROW($A253)-ROW(tblKasa[[#Headers],[Tarih]])+1)=0,RaporTarihi,INDEX(tblKasa[Tarih],ROW($A253)-ROW(tblKasa[[#Headers],[Tarih]])+1))-$A253,RaporTarihi-$A253))</f>
        <v/>
      </c>
      <c r="E253" s="18" t="n">
        <f aca="false">IF($C253="",0,ROUND($C253*$D253,0))</f>
        <v>0</v>
      </c>
      <c r="F253" s="22"/>
    </row>
    <row r="254" customFormat="false" ht="15" hidden="false" customHeight="false" outlineLevel="0" collapsed="false">
      <c r="A254" s="21"/>
      <c r="B254" s="22"/>
      <c r="C254" s="23"/>
      <c r="D254" s="19" t="str">
        <f aca="false">IF($A254="","",IFERROR(IF(INDEX(tblKasa[Tarih],ROW($A254)-ROW(tblKasa[[#Headers],[Tarih]])+1)=0,RaporTarihi,INDEX(tblKasa[Tarih],ROW($A254)-ROW(tblKasa[[#Headers],[Tarih]])+1))-$A254,RaporTarihi-$A254))</f>
        <v/>
      </c>
      <c r="E254" s="18" t="n">
        <f aca="false">IF($C254="",0,ROUND($C254*$D254,0))</f>
        <v>0</v>
      </c>
      <c r="F254" s="22"/>
    </row>
    <row r="255" customFormat="false" ht="15" hidden="false" customHeight="false" outlineLevel="0" collapsed="false">
      <c r="A255" s="21"/>
      <c r="B255" s="22"/>
      <c r="C255" s="23"/>
      <c r="D255" s="19" t="str">
        <f aca="false">IF($A255="","",IFERROR(IF(INDEX(tblKasa[Tarih],ROW($A255)-ROW(tblKasa[[#Headers],[Tarih]])+1)=0,RaporTarihi,INDEX(tblKasa[Tarih],ROW($A255)-ROW(tblKasa[[#Headers],[Tarih]])+1))-$A255,RaporTarihi-$A255))</f>
        <v/>
      </c>
      <c r="E255" s="18" t="n">
        <f aca="false">IF($C255="",0,ROUND($C255*$D255,0))</f>
        <v>0</v>
      </c>
      <c r="F255" s="22"/>
    </row>
    <row r="256" customFormat="false" ht="15" hidden="false" customHeight="false" outlineLevel="0" collapsed="false">
      <c r="A256" s="21"/>
      <c r="B256" s="22"/>
      <c r="C256" s="23"/>
      <c r="D256" s="19" t="str">
        <f aca="false">IF($A256="","",IFERROR(IF(INDEX(tblKasa[Tarih],ROW($A256)-ROW(tblKasa[[#Headers],[Tarih]])+1)=0,RaporTarihi,INDEX(tblKasa[Tarih],ROW($A256)-ROW(tblKasa[[#Headers],[Tarih]])+1))-$A256,RaporTarihi-$A256))</f>
        <v/>
      </c>
      <c r="E256" s="18" t="n">
        <f aca="false">IF($C256="",0,ROUND($C256*$D256,0))</f>
        <v>0</v>
      </c>
      <c r="F256" s="22"/>
    </row>
    <row r="257" customFormat="false" ht="15" hidden="false" customHeight="false" outlineLevel="0" collapsed="false">
      <c r="A257" s="21"/>
      <c r="B257" s="22"/>
      <c r="C257" s="23"/>
      <c r="D257" s="19" t="str">
        <f aca="false">IF($A257="","",IFERROR(IF(INDEX(tblKasa[Tarih],ROW($A257)-ROW(tblKasa[[#Headers],[Tarih]])+1)=0,RaporTarihi,INDEX(tblKasa[Tarih],ROW($A257)-ROW(tblKasa[[#Headers],[Tarih]])+1))-$A257,RaporTarihi-$A257))</f>
        <v/>
      </c>
      <c r="E257" s="18" t="n">
        <f aca="false">IF($C257="",0,ROUND($C257*$D257,0))</f>
        <v>0</v>
      </c>
      <c r="F257" s="22"/>
    </row>
    <row r="258" customFormat="false" ht="15" hidden="false" customHeight="false" outlineLevel="0" collapsed="false">
      <c r="A258" s="21"/>
      <c r="B258" s="22"/>
      <c r="C258" s="23"/>
      <c r="D258" s="19" t="str">
        <f aca="false">IF($A258="","",IFERROR(IF(INDEX(tblKasa[Tarih],ROW($A258)-ROW(tblKasa[[#Headers],[Tarih]])+1)=0,RaporTarihi,INDEX(tblKasa[Tarih],ROW($A258)-ROW(tblKasa[[#Headers],[Tarih]])+1))-$A258,RaporTarihi-$A258))</f>
        <v/>
      </c>
      <c r="E258" s="18" t="n">
        <f aca="false">IF($C258="",0,ROUND($C258*$D258,0))</f>
        <v>0</v>
      </c>
      <c r="F258" s="22"/>
    </row>
    <row r="259" customFormat="false" ht="15" hidden="false" customHeight="false" outlineLevel="0" collapsed="false">
      <c r="A259" s="21"/>
      <c r="B259" s="22"/>
      <c r="C259" s="23"/>
      <c r="D259" s="19" t="str">
        <f aca="false">IF($A259="","",IFERROR(IF(INDEX(tblKasa[Tarih],ROW($A259)-ROW(tblKasa[[#Headers],[Tarih]])+1)=0,RaporTarihi,INDEX(tblKasa[Tarih],ROW($A259)-ROW(tblKasa[[#Headers],[Tarih]])+1))-$A259,RaporTarihi-$A259))</f>
        <v/>
      </c>
      <c r="E259" s="18" t="n">
        <f aca="false">IF($C259="",0,ROUND($C259*$D259,0))</f>
        <v>0</v>
      </c>
      <c r="F259" s="22"/>
    </row>
    <row r="260" customFormat="false" ht="15" hidden="false" customHeight="false" outlineLevel="0" collapsed="false">
      <c r="A260" s="21"/>
      <c r="B260" s="22"/>
      <c r="C260" s="23"/>
      <c r="D260" s="19" t="str">
        <f aca="false">IF($A260="","",IFERROR(IF(INDEX(tblKasa[Tarih],ROW($A260)-ROW(tblKasa[[#Headers],[Tarih]])+1)=0,RaporTarihi,INDEX(tblKasa[Tarih],ROW($A260)-ROW(tblKasa[[#Headers],[Tarih]])+1))-$A260,RaporTarihi-$A260))</f>
        <v/>
      </c>
      <c r="E260" s="18" t="n">
        <f aca="false">IF($C260="",0,ROUND($C260*$D260,0))</f>
        <v>0</v>
      </c>
      <c r="F260" s="22"/>
    </row>
    <row r="261" customFormat="false" ht="15" hidden="false" customHeight="false" outlineLevel="0" collapsed="false">
      <c r="A261" s="21"/>
      <c r="B261" s="22"/>
      <c r="C261" s="23"/>
      <c r="D261" s="19" t="str">
        <f aca="false">IF($A261="","",IFERROR(IF(INDEX(tblKasa[Tarih],ROW($A261)-ROW(tblKasa[[#Headers],[Tarih]])+1)=0,RaporTarihi,INDEX(tblKasa[Tarih],ROW($A261)-ROW(tblKasa[[#Headers],[Tarih]])+1))-$A261,RaporTarihi-$A261))</f>
        <v/>
      </c>
      <c r="E261" s="18" t="n">
        <f aca="false">IF($C261="",0,ROUND($C261*$D261,0))</f>
        <v>0</v>
      </c>
      <c r="F261" s="22"/>
    </row>
    <row r="262" customFormat="false" ht="15" hidden="false" customHeight="false" outlineLevel="0" collapsed="false">
      <c r="A262" s="21"/>
      <c r="B262" s="22"/>
      <c r="C262" s="23"/>
      <c r="D262" s="19" t="str">
        <f aca="false">IF($A262="","",IFERROR(IF(INDEX(tblKasa[Tarih],ROW($A262)-ROW(tblKasa[[#Headers],[Tarih]])+1)=0,RaporTarihi,INDEX(tblKasa[Tarih],ROW($A262)-ROW(tblKasa[[#Headers],[Tarih]])+1))-$A262,RaporTarihi-$A262))</f>
        <v/>
      </c>
      <c r="E262" s="18" t="n">
        <f aca="false">IF($C262="",0,ROUND($C262*$D262,0))</f>
        <v>0</v>
      </c>
      <c r="F262" s="22"/>
    </row>
    <row r="263" customFormat="false" ht="15" hidden="false" customHeight="false" outlineLevel="0" collapsed="false">
      <c r="A263" s="21"/>
      <c r="B263" s="22"/>
      <c r="C263" s="23"/>
      <c r="D263" s="19" t="str">
        <f aca="false">IF($A263="","",IFERROR(IF(INDEX(tblKasa[Tarih],ROW($A263)-ROW(tblKasa[[#Headers],[Tarih]])+1)=0,RaporTarihi,INDEX(tblKasa[Tarih],ROW($A263)-ROW(tblKasa[[#Headers],[Tarih]])+1))-$A263,RaporTarihi-$A263))</f>
        <v/>
      </c>
      <c r="E263" s="18" t="n">
        <f aca="false">IF($C263="",0,ROUND($C263*$D263,0))</f>
        <v>0</v>
      </c>
      <c r="F263" s="22"/>
    </row>
    <row r="264" customFormat="false" ht="15" hidden="false" customHeight="false" outlineLevel="0" collapsed="false">
      <c r="A264" s="21"/>
      <c r="B264" s="22"/>
      <c r="C264" s="23"/>
      <c r="D264" s="19" t="str">
        <f aca="false">IF($A264="","",IFERROR(IF(INDEX(tblKasa[Tarih],ROW($A264)-ROW(tblKasa[[#Headers],[Tarih]])+1)=0,RaporTarihi,INDEX(tblKasa[Tarih],ROW($A264)-ROW(tblKasa[[#Headers],[Tarih]])+1))-$A264,RaporTarihi-$A264))</f>
        <v/>
      </c>
      <c r="E264" s="18" t="n">
        <f aca="false">IF($C264="",0,ROUND($C264*$D264,0))</f>
        <v>0</v>
      </c>
      <c r="F264" s="22"/>
    </row>
    <row r="265" customFormat="false" ht="15" hidden="false" customHeight="false" outlineLevel="0" collapsed="false">
      <c r="A265" s="21"/>
      <c r="B265" s="22"/>
      <c r="C265" s="23"/>
      <c r="D265" s="19" t="str">
        <f aca="false">IF($A265="","",IFERROR(IF(INDEX(tblKasa[Tarih],ROW($A265)-ROW(tblKasa[[#Headers],[Tarih]])+1)=0,RaporTarihi,INDEX(tblKasa[Tarih],ROW($A265)-ROW(tblKasa[[#Headers],[Tarih]])+1))-$A265,RaporTarihi-$A265))</f>
        <v/>
      </c>
      <c r="E265" s="18" t="n">
        <f aca="false">IF($C265="",0,ROUND($C265*$D265,0))</f>
        <v>0</v>
      </c>
      <c r="F265" s="22"/>
    </row>
    <row r="266" customFormat="false" ht="15" hidden="false" customHeight="false" outlineLevel="0" collapsed="false">
      <c r="A266" s="21"/>
      <c r="B266" s="22"/>
      <c r="C266" s="23"/>
      <c r="D266" s="19" t="str">
        <f aca="false">IF($A266="","",IFERROR(IF(INDEX(tblKasa[Tarih],ROW($A266)-ROW(tblKasa[[#Headers],[Tarih]])+1)=0,RaporTarihi,INDEX(tblKasa[Tarih],ROW($A266)-ROW(tblKasa[[#Headers],[Tarih]])+1))-$A266,RaporTarihi-$A266))</f>
        <v/>
      </c>
      <c r="E266" s="18" t="n">
        <f aca="false">IF($C266="",0,ROUND($C266*$D266,0))</f>
        <v>0</v>
      </c>
      <c r="F266" s="22"/>
    </row>
    <row r="267" customFormat="false" ht="15" hidden="false" customHeight="false" outlineLevel="0" collapsed="false">
      <c r="A267" s="21"/>
      <c r="B267" s="22"/>
      <c r="C267" s="23"/>
      <c r="D267" s="19" t="str">
        <f aca="false">IF($A267="","",IFERROR(IF(INDEX(tblKasa[Tarih],ROW($A267)-ROW(tblKasa[[#Headers],[Tarih]])+1)=0,RaporTarihi,INDEX(tblKasa[Tarih],ROW($A267)-ROW(tblKasa[[#Headers],[Tarih]])+1))-$A267,RaporTarihi-$A267))</f>
        <v/>
      </c>
      <c r="E267" s="18" t="n">
        <f aca="false">IF($C267="",0,ROUND($C267*$D267,0))</f>
        <v>0</v>
      </c>
      <c r="F267" s="22"/>
    </row>
    <row r="268" customFormat="false" ht="15" hidden="false" customHeight="false" outlineLevel="0" collapsed="false">
      <c r="A268" s="21"/>
      <c r="B268" s="22"/>
      <c r="C268" s="23"/>
      <c r="D268" s="19" t="str">
        <f aca="false">IF($A268="","",IFERROR(IF(INDEX(tblKasa[Tarih],ROW($A268)-ROW(tblKasa[[#Headers],[Tarih]])+1)=0,RaporTarihi,INDEX(tblKasa[Tarih],ROW($A268)-ROW(tblKasa[[#Headers],[Tarih]])+1))-$A268,RaporTarihi-$A268))</f>
        <v/>
      </c>
      <c r="E268" s="18" t="n">
        <f aca="false">IF($C268="",0,ROUND($C268*$D268,0))</f>
        <v>0</v>
      </c>
      <c r="F268" s="22"/>
    </row>
    <row r="269" customFormat="false" ht="15" hidden="false" customHeight="false" outlineLevel="0" collapsed="false">
      <c r="A269" s="21"/>
      <c r="B269" s="22"/>
      <c r="C269" s="23"/>
      <c r="D269" s="19" t="str">
        <f aca="false">IF($A269="","",IFERROR(IF(INDEX(tblKasa[Tarih],ROW($A269)-ROW(tblKasa[[#Headers],[Tarih]])+1)=0,RaporTarihi,INDEX(tblKasa[Tarih],ROW($A269)-ROW(tblKasa[[#Headers],[Tarih]])+1))-$A269,RaporTarihi-$A269))</f>
        <v/>
      </c>
      <c r="E269" s="18" t="n">
        <f aca="false">IF($C269="",0,ROUND($C269*$D269,0))</f>
        <v>0</v>
      </c>
      <c r="F269" s="22"/>
    </row>
    <row r="270" customFormat="false" ht="15" hidden="false" customHeight="false" outlineLevel="0" collapsed="false">
      <c r="A270" s="21"/>
      <c r="B270" s="22"/>
      <c r="C270" s="23"/>
      <c r="D270" s="19" t="str">
        <f aca="false">IF($A270="","",IFERROR(IF(INDEX(tblKasa[Tarih],ROW($A270)-ROW(tblKasa[[#Headers],[Tarih]])+1)=0,RaporTarihi,INDEX(tblKasa[Tarih],ROW($A270)-ROW(tblKasa[[#Headers],[Tarih]])+1))-$A270,RaporTarihi-$A270))</f>
        <v/>
      </c>
      <c r="E270" s="18" t="n">
        <f aca="false">IF($C270="",0,ROUND($C270*$D270,0))</f>
        <v>0</v>
      </c>
      <c r="F270" s="22"/>
    </row>
    <row r="271" customFormat="false" ht="15" hidden="false" customHeight="false" outlineLevel="0" collapsed="false">
      <c r="A271" s="21"/>
      <c r="B271" s="22"/>
      <c r="C271" s="23"/>
      <c r="D271" s="19" t="str">
        <f aca="false">IF($A271="","",IFERROR(IF(INDEX(tblKasa[Tarih],ROW($A271)-ROW(tblKasa[[#Headers],[Tarih]])+1)=0,RaporTarihi,INDEX(tblKasa[Tarih],ROW($A271)-ROW(tblKasa[[#Headers],[Tarih]])+1))-$A271,RaporTarihi-$A271))</f>
        <v/>
      </c>
      <c r="E271" s="18" t="n">
        <f aca="false">IF($C271="",0,ROUND($C271*$D271,0))</f>
        <v>0</v>
      </c>
      <c r="F271" s="22"/>
    </row>
    <row r="272" customFormat="false" ht="15" hidden="false" customHeight="false" outlineLevel="0" collapsed="false">
      <c r="A272" s="21"/>
      <c r="B272" s="22"/>
      <c r="C272" s="23"/>
      <c r="D272" s="19" t="str">
        <f aca="false">IF($A272="","",IFERROR(IF(INDEX(tblKasa[Tarih],ROW($A272)-ROW(tblKasa[[#Headers],[Tarih]])+1)=0,RaporTarihi,INDEX(tblKasa[Tarih],ROW($A272)-ROW(tblKasa[[#Headers],[Tarih]])+1))-$A272,RaporTarihi-$A272))</f>
        <v/>
      </c>
      <c r="E272" s="18" t="n">
        <f aca="false">IF($C272="",0,ROUND($C272*$D272,0))</f>
        <v>0</v>
      </c>
      <c r="F272" s="22"/>
    </row>
    <row r="273" customFormat="false" ht="15" hidden="false" customHeight="false" outlineLevel="0" collapsed="false">
      <c r="A273" s="21"/>
      <c r="B273" s="22"/>
      <c r="C273" s="23"/>
      <c r="D273" s="19" t="str">
        <f aca="false">IF($A273="","",IFERROR(IF(INDEX(tblKasa[Tarih],ROW($A273)-ROW(tblKasa[[#Headers],[Tarih]])+1)=0,RaporTarihi,INDEX(tblKasa[Tarih],ROW($A273)-ROW(tblKasa[[#Headers],[Tarih]])+1))-$A273,RaporTarihi-$A273))</f>
        <v/>
      </c>
      <c r="E273" s="18" t="n">
        <f aca="false">IF($C273="",0,ROUND($C273*$D273,0))</f>
        <v>0</v>
      </c>
      <c r="F273" s="22"/>
    </row>
    <row r="274" customFormat="false" ht="15" hidden="false" customHeight="false" outlineLevel="0" collapsed="false">
      <c r="A274" s="21"/>
      <c r="B274" s="22"/>
      <c r="C274" s="23"/>
      <c r="D274" s="19" t="str">
        <f aca="false">IF($A274="","",IFERROR(IF(INDEX(tblKasa[Tarih],ROW($A274)-ROW(tblKasa[[#Headers],[Tarih]])+1)=0,RaporTarihi,INDEX(tblKasa[Tarih],ROW($A274)-ROW(tblKasa[[#Headers],[Tarih]])+1))-$A274,RaporTarihi-$A274))</f>
        <v/>
      </c>
      <c r="E274" s="18" t="n">
        <f aca="false">IF($C274="",0,ROUND($C274*$D274,0))</f>
        <v>0</v>
      </c>
      <c r="F274" s="22"/>
    </row>
    <row r="275" customFormat="false" ht="15" hidden="false" customHeight="false" outlineLevel="0" collapsed="false">
      <c r="A275" s="21"/>
      <c r="B275" s="22"/>
      <c r="C275" s="23"/>
      <c r="D275" s="19" t="str">
        <f aca="false">IF($A275="","",IFERROR(IF(INDEX(tblKasa[Tarih],ROW($A275)-ROW(tblKasa[[#Headers],[Tarih]])+1)=0,RaporTarihi,INDEX(tblKasa[Tarih],ROW($A275)-ROW(tblKasa[[#Headers],[Tarih]])+1))-$A275,RaporTarihi-$A275))</f>
        <v/>
      </c>
      <c r="E275" s="18" t="n">
        <f aca="false">IF($C275="",0,ROUND($C275*$D275,0))</f>
        <v>0</v>
      </c>
      <c r="F275" s="22"/>
    </row>
    <row r="276" customFormat="false" ht="15" hidden="false" customHeight="false" outlineLevel="0" collapsed="false">
      <c r="A276" s="21"/>
      <c r="B276" s="22"/>
      <c r="C276" s="23"/>
      <c r="D276" s="19" t="str">
        <f aca="false">IF($A276="","",IFERROR(IF(INDEX(tblKasa[Tarih],ROW($A276)-ROW(tblKasa[[#Headers],[Tarih]])+1)=0,RaporTarihi,INDEX(tblKasa[Tarih],ROW($A276)-ROW(tblKasa[[#Headers],[Tarih]])+1))-$A276,RaporTarihi-$A276))</f>
        <v/>
      </c>
      <c r="E276" s="18" t="n">
        <f aca="false">IF($C276="",0,ROUND($C276*$D276,0))</f>
        <v>0</v>
      </c>
      <c r="F276" s="22"/>
    </row>
    <row r="277" customFormat="false" ht="15" hidden="false" customHeight="false" outlineLevel="0" collapsed="false">
      <c r="A277" s="21"/>
      <c r="B277" s="22"/>
      <c r="C277" s="23"/>
      <c r="D277" s="19" t="str">
        <f aca="false">IF($A277="","",IFERROR(IF(INDEX(tblKasa[Tarih],ROW($A277)-ROW(tblKasa[[#Headers],[Tarih]])+1)=0,RaporTarihi,INDEX(tblKasa[Tarih],ROW($A277)-ROW(tblKasa[[#Headers],[Tarih]])+1))-$A277,RaporTarihi-$A277))</f>
        <v/>
      </c>
      <c r="E277" s="18" t="n">
        <f aca="false">IF($C277="",0,ROUND($C277*$D277,0))</f>
        <v>0</v>
      </c>
      <c r="F277" s="22"/>
    </row>
    <row r="278" customFormat="false" ht="15" hidden="false" customHeight="false" outlineLevel="0" collapsed="false">
      <c r="A278" s="21"/>
      <c r="B278" s="22"/>
      <c r="C278" s="23"/>
      <c r="D278" s="19" t="str">
        <f aca="false">IF($A278="","",IFERROR(IF(INDEX(tblKasa[Tarih],ROW($A278)-ROW(tblKasa[[#Headers],[Tarih]])+1)=0,RaporTarihi,INDEX(tblKasa[Tarih],ROW($A278)-ROW(tblKasa[[#Headers],[Tarih]])+1))-$A278,RaporTarihi-$A278))</f>
        <v/>
      </c>
      <c r="E278" s="18" t="n">
        <f aca="false">IF($C278="",0,ROUND($C278*$D278,0))</f>
        <v>0</v>
      </c>
      <c r="F278" s="22"/>
    </row>
    <row r="279" customFormat="false" ht="15" hidden="false" customHeight="false" outlineLevel="0" collapsed="false">
      <c r="A279" s="21"/>
      <c r="B279" s="22"/>
      <c r="C279" s="23"/>
      <c r="D279" s="19" t="str">
        <f aca="false">IF($A279="","",IFERROR(IF(INDEX(tblKasa[Tarih],ROW($A279)-ROW(tblKasa[[#Headers],[Tarih]])+1)=0,RaporTarihi,INDEX(tblKasa[Tarih],ROW($A279)-ROW(tblKasa[[#Headers],[Tarih]])+1))-$A279,RaporTarihi-$A279))</f>
        <v/>
      </c>
      <c r="E279" s="18" t="n">
        <f aca="false">IF($C279="",0,ROUND($C279*$D279,0))</f>
        <v>0</v>
      </c>
      <c r="F279" s="22"/>
    </row>
    <row r="280" customFormat="false" ht="15" hidden="false" customHeight="false" outlineLevel="0" collapsed="false">
      <c r="A280" s="21"/>
      <c r="B280" s="22"/>
      <c r="C280" s="23"/>
      <c r="D280" s="19" t="str">
        <f aca="false">IF($A280="","",IFERROR(IF(INDEX(tblKasa[Tarih],ROW($A280)-ROW(tblKasa[[#Headers],[Tarih]])+1)=0,RaporTarihi,INDEX(tblKasa[Tarih],ROW($A280)-ROW(tblKasa[[#Headers],[Tarih]])+1))-$A280,RaporTarihi-$A280))</f>
        <v/>
      </c>
      <c r="E280" s="18" t="n">
        <f aca="false">IF($C280="",0,ROUND($C280*$D280,0))</f>
        <v>0</v>
      </c>
      <c r="F280" s="22"/>
    </row>
    <row r="281" customFormat="false" ht="15" hidden="false" customHeight="false" outlineLevel="0" collapsed="false">
      <c r="A281" s="21"/>
      <c r="B281" s="22"/>
      <c r="C281" s="23"/>
      <c r="D281" s="19" t="str">
        <f aca="false">IF($A281="","",IFERROR(IF(INDEX(tblKasa[Tarih],ROW($A281)-ROW(tblKasa[[#Headers],[Tarih]])+1)=0,RaporTarihi,INDEX(tblKasa[Tarih],ROW($A281)-ROW(tblKasa[[#Headers],[Tarih]])+1))-$A281,RaporTarihi-$A281))</f>
        <v/>
      </c>
      <c r="E281" s="18" t="n">
        <f aca="false">IF($C281="",0,ROUND($C281*$D281,0))</f>
        <v>0</v>
      </c>
      <c r="F281" s="22"/>
    </row>
    <row r="282" customFormat="false" ht="15" hidden="false" customHeight="false" outlineLevel="0" collapsed="false">
      <c r="A282" s="21"/>
      <c r="B282" s="22"/>
      <c r="C282" s="23"/>
      <c r="D282" s="19" t="str">
        <f aca="false">IF($A282="","",IFERROR(IF(INDEX(tblKasa[Tarih],ROW($A282)-ROW(tblKasa[[#Headers],[Tarih]])+1)=0,RaporTarihi,INDEX(tblKasa[Tarih],ROW($A282)-ROW(tblKasa[[#Headers],[Tarih]])+1))-$A282,RaporTarihi-$A282))</f>
        <v/>
      </c>
      <c r="E282" s="18" t="n">
        <f aca="false">IF($C282="",0,ROUND($C282*$D282,0))</f>
        <v>0</v>
      </c>
      <c r="F282" s="22"/>
    </row>
    <row r="283" customFormat="false" ht="15" hidden="false" customHeight="false" outlineLevel="0" collapsed="false">
      <c r="A283" s="21"/>
      <c r="B283" s="22"/>
      <c r="C283" s="23"/>
      <c r="D283" s="19" t="str">
        <f aca="false">IF($A283="","",IFERROR(IF(INDEX(tblKasa[Tarih],ROW($A283)-ROW(tblKasa[[#Headers],[Tarih]])+1)=0,RaporTarihi,INDEX(tblKasa[Tarih],ROW($A283)-ROW(tblKasa[[#Headers],[Tarih]])+1))-$A283,RaporTarihi-$A283))</f>
        <v/>
      </c>
      <c r="E283" s="18" t="n">
        <f aca="false">IF($C283="",0,ROUND($C283*$D283,0))</f>
        <v>0</v>
      </c>
      <c r="F283" s="22"/>
    </row>
    <row r="284" customFormat="false" ht="15" hidden="false" customHeight="false" outlineLevel="0" collapsed="false">
      <c r="A284" s="21"/>
      <c r="B284" s="22"/>
      <c r="C284" s="23"/>
      <c r="D284" s="19" t="str">
        <f aca="false">IF($A284="","",IFERROR(IF(INDEX(tblKasa[Tarih],ROW($A284)-ROW(tblKasa[[#Headers],[Tarih]])+1)=0,RaporTarihi,INDEX(tblKasa[Tarih],ROW($A284)-ROW(tblKasa[[#Headers],[Tarih]])+1))-$A284,RaporTarihi-$A284))</f>
        <v/>
      </c>
      <c r="E284" s="18" t="n">
        <f aca="false">IF($C284="",0,ROUND($C284*$D284,0))</f>
        <v>0</v>
      </c>
      <c r="F284" s="22"/>
    </row>
    <row r="285" customFormat="false" ht="15" hidden="false" customHeight="false" outlineLevel="0" collapsed="false">
      <c r="A285" s="21"/>
      <c r="B285" s="22"/>
      <c r="C285" s="23"/>
      <c r="D285" s="19" t="str">
        <f aca="false">IF($A285="","",IFERROR(IF(INDEX(tblKasa[Tarih],ROW($A285)-ROW(tblKasa[[#Headers],[Tarih]])+1)=0,RaporTarihi,INDEX(tblKasa[Tarih],ROW($A285)-ROW(tblKasa[[#Headers],[Tarih]])+1))-$A285,RaporTarihi-$A285))</f>
        <v/>
      </c>
      <c r="E285" s="18" t="n">
        <f aca="false">IF($C285="",0,ROUND($C285*$D285,0))</f>
        <v>0</v>
      </c>
      <c r="F285" s="22"/>
    </row>
    <row r="286" customFormat="false" ht="15" hidden="false" customHeight="false" outlineLevel="0" collapsed="false">
      <c r="A286" s="21"/>
      <c r="B286" s="22"/>
      <c r="C286" s="23"/>
      <c r="D286" s="19" t="str">
        <f aca="false">IF($A286="","",IFERROR(IF(INDEX(tblKasa[Tarih],ROW($A286)-ROW(tblKasa[[#Headers],[Tarih]])+1)=0,RaporTarihi,INDEX(tblKasa[Tarih],ROW($A286)-ROW(tblKasa[[#Headers],[Tarih]])+1))-$A286,RaporTarihi-$A286))</f>
        <v/>
      </c>
      <c r="E286" s="18" t="n">
        <f aca="false">IF($C286="",0,ROUND($C286*$D286,0))</f>
        <v>0</v>
      </c>
      <c r="F286" s="22"/>
    </row>
    <row r="287" customFormat="false" ht="15" hidden="false" customHeight="false" outlineLevel="0" collapsed="false">
      <c r="A287" s="21"/>
      <c r="B287" s="22"/>
      <c r="C287" s="23"/>
      <c r="D287" s="19" t="str">
        <f aca="false">IF($A287="","",IFERROR(IF(INDEX(tblKasa[Tarih],ROW($A287)-ROW(tblKasa[[#Headers],[Tarih]])+1)=0,RaporTarihi,INDEX(tblKasa[Tarih],ROW($A287)-ROW(tblKasa[[#Headers],[Tarih]])+1))-$A287,RaporTarihi-$A287))</f>
        <v/>
      </c>
      <c r="E287" s="18" t="n">
        <f aca="false">IF($C287="",0,ROUND($C287*$D287,0))</f>
        <v>0</v>
      </c>
      <c r="F287" s="22"/>
    </row>
    <row r="288" customFormat="false" ht="15" hidden="false" customHeight="false" outlineLevel="0" collapsed="false">
      <c r="A288" s="21"/>
      <c r="B288" s="22"/>
      <c r="C288" s="23"/>
      <c r="D288" s="19" t="str">
        <f aca="false">IF($A288="","",IFERROR(IF(INDEX(tblKasa[Tarih],ROW($A288)-ROW(tblKasa[[#Headers],[Tarih]])+1)=0,RaporTarihi,INDEX(tblKasa[Tarih],ROW($A288)-ROW(tblKasa[[#Headers],[Tarih]])+1))-$A288,RaporTarihi-$A288))</f>
        <v/>
      </c>
      <c r="E288" s="18" t="n">
        <f aca="false">IF($C288="",0,ROUND($C288*$D288,0))</f>
        <v>0</v>
      </c>
      <c r="F288" s="22"/>
    </row>
    <row r="289" customFormat="false" ht="15" hidden="false" customHeight="false" outlineLevel="0" collapsed="false">
      <c r="A289" s="21"/>
      <c r="B289" s="22"/>
      <c r="C289" s="23"/>
      <c r="D289" s="19" t="str">
        <f aca="false">IF($A289="","",IFERROR(IF(INDEX(tblKasa[Tarih],ROW($A289)-ROW(tblKasa[[#Headers],[Tarih]])+1)=0,RaporTarihi,INDEX(tblKasa[Tarih],ROW($A289)-ROW(tblKasa[[#Headers],[Tarih]])+1))-$A289,RaporTarihi-$A289))</f>
        <v/>
      </c>
      <c r="E289" s="18" t="n">
        <f aca="false">IF($C289="",0,ROUND($C289*$D289,0))</f>
        <v>0</v>
      </c>
      <c r="F289" s="22"/>
    </row>
    <row r="290" customFormat="false" ht="15" hidden="false" customHeight="false" outlineLevel="0" collapsed="false">
      <c r="A290" s="21"/>
      <c r="B290" s="22"/>
      <c r="C290" s="23"/>
      <c r="D290" s="19" t="str">
        <f aca="false">IF($A290="","",IFERROR(IF(INDEX(tblKasa[Tarih],ROW($A290)-ROW(tblKasa[[#Headers],[Tarih]])+1)=0,RaporTarihi,INDEX(tblKasa[Tarih],ROW($A290)-ROW(tblKasa[[#Headers],[Tarih]])+1))-$A290,RaporTarihi-$A290))</f>
        <v/>
      </c>
      <c r="E290" s="18" t="n">
        <f aca="false">IF($C290="",0,ROUND($C290*$D290,0))</f>
        <v>0</v>
      </c>
      <c r="F290" s="22"/>
    </row>
    <row r="291" customFormat="false" ht="15" hidden="false" customHeight="false" outlineLevel="0" collapsed="false">
      <c r="A291" s="21"/>
      <c r="B291" s="22"/>
      <c r="C291" s="23"/>
      <c r="D291" s="19" t="str">
        <f aca="false">IF($A291="","",IFERROR(IF(INDEX(tblKasa[Tarih],ROW($A291)-ROW(tblKasa[[#Headers],[Tarih]])+1)=0,RaporTarihi,INDEX(tblKasa[Tarih],ROW($A291)-ROW(tblKasa[[#Headers],[Tarih]])+1))-$A291,RaporTarihi-$A291))</f>
        <v/>
      </c>
      <c r="E291" s="18" t="n">
        <f aca="false">IF($C291="",0,ROUND($C291*$D291,0))</f>
        <v>0</v>
      </c>
      <c r="F291" s="22"/>
    </row>
    <row r="292" customFormat="false" ht="15" hidden="false" customHeight="false" outlineLevel="0" collapsed="false">
      <c r="A292" s="21"/>
      <c r="B292" s="22"/>
      <c r="C292" s="23"/>
      <c r="D292" s="19" t="str">
        <f aca="false">IF($A292="","",IFERROR(IF(INDEX(tblKasa[Tarih],ROW($A292)-ROW(tblKasa[[#Headers],[Tarih]])+1)=0,RaporTarihi,INDEX(tblKasa[Tarih],ROW($A292)-ROW(tblKasa[[#Headers],[Tarih]])+1))-$A292,RaporTarihi-$A292))</f>
        <v/>
      </c>
      <c r="E292" s="18" t="n">
        <f aca="false">IF($C292="",0,ROUND($C292*$D292,0))</f>
        <v>0</v>
      </c>
      <c r="F292" s="22"/>
    </row>
    <row r="293" customFormat="false" ht="15" hidden="false" customHeight="false" outlineLevel="0" collapsed="false">
      <c r="A293" s="21"/>
      <c r="B293" s="22"/>
      <c r="C293" s="23"/>
      <c r="D293" s="19" t="str">
        <f aca="false">IF($A293="","",IFERROR(IF(INDEX(tblKasa[Tarih],ROW($A293)-ROW(tblKasa[[#Headers],[Tarih]])+1)=0,RaporTarihi,INDEX(tblKasa[Tarih],ROW($A293)-ROW(tblKasa[[#Headers],[Tarih]])+1))-$A293,RaporTarihi-$A293))</f>
        <v/>
      </c>
      <c r="E293" s="18" t="n">
        <f aca="false">IF($C293="",0,ROUND($C293*$D293,0))</f>
        <v>0</v>
      </c>
      <c r="F293" s="22"/>
    </row>
    <row r="294" customFormat="false" ht="15" hidden="false" customHeight="false" outlineLevel="0" collapsed="false">
      <c r="A294" s="21"/>
      <c r="B294" s="22"/>
      <c r="C294" s="23"/>
      <c r="D294" s="19" t="str">
        <f aca="false">IF($A294="","",IFERROR(IF(INDEX(tblKasa[Tarih],ROW($A294)-ROW(tblKasa[[#Headers],[Tarih]])+1)=0,RaporTarihi,INDEX(tblKasa[Tarih],ROW($A294)-ROW(tblKasa[[#Headers],[Tarih]])+1))-$A294,RaporTarihi-$A294))</f>
        <v/>
      </c>
      <c r="E294" s="18" t="n">
        <f aca="false">IF($C294="",0,ROUND($C294*$D294,0))</f>
        <v>0</v>
      </c>
      <c r="F294" s="22"/>
    </row>
    <row r="295" customFormat="false" ht="15" hidden="false" customHeight="false" outlineLevel="0" collapsed="false">
      <c r="A295" s="21"/>
      <c r="B295" s="22"/>
      <c r="C295" s="23"/>
      <c r="D295" s="19" t="str">
        <f aca="false">IF($A295="","",IFERROR(IF(INDEX(tblKasa[Tarih],ROW($A295)-ROW(tblKasa[[#Headers],[Tarih]])+1)=0,RaporTarihi,INDEX(tblKasa[Tarih],ROW($A295)-ROW(tblKasa[[#Headers],[Tarih]])+1))-$A295,RaporTarihi-$A295))</f>
        <v/>
      </c>
      <c r="E295" s="18" t="n">
        <f aca="false">IF($C295="",0,ROUND($C295*$D295,0))</f>
        <v>0</v>
      </c>
      <c r="F295" s="22"/>
    </row>
    <row r="296" customFormat="false" ht="15" hidden="false" customHeight="false" outlineLevel="0" collapsed="false">
      <c r="A296" s="21"/>
      <c r="B296" s="22"/>
      <c r="C296" s="23"/>
      <c r="D296" s="19" t="str">
        <f aca="false">IF($A296="","",IFERROR(IF(INDEX(tblKasa[Tarih],ROW($A296)-ROW(tblKasa[[#Headers],[Tarih]])+1)=0,RaporTarihi,INDEX(tblKasa[Tarih],ROW($A296)-ROW(tblKasa[[#Headers],[Tarih]])+1))-$A296,RaporTarihi-$A296))</f>
        <v/>
      </c>
      <c r="E296" s="18" t="n">
        <f aca="false">IF($C296="",0,ROUND($C296*$D296,0))</f>
        <v>0</v>
      </c>
      <c r="F296" s="22"/>
    </row>
    <row r="297" customFormat="false" ht="15" hidden="false" customHeight="false" outlineLevel="0" collapsed="false">
      <c r="A297" s="21"/>
      <c r="B297" s="22"/>
      <c r="C297" s="23"/>
      <c r="D297" s="19" t="str">
        <f aca="false">IF($A297="","",IFERROR(IF(INDEX(tblKasa[Tarih],ROW($A297)-ROW(tblKasa[[#Headers],[Tarih]])+1)=0,RaporTarihi,INDEX(tblKasa[Tarih],ROW($A297)-ROW(tblKasa[[#Headers],[Tarih]])+1))-$A297,RaporTarihi-$A297))</f>
        <v/>
      </c>
      <c r="E297" s="18" t="n">
        <f aca="false">IF($C297="",0,ROUND($C297*$D297,0))</f>
        <v>0</v>
      </c>
      <c r="F297" s="22"/>
    </row>
    <row r="298" customFormat="false" ht="15" hidden="false" customHeight="false" outlineLevel="0" collapsed="false">
      <c r="A298" s="21"/>
      <c r="B298" s="22"/>
      <c r="C298" s="23"/>
      <c r="D298" s="19" t="str">
        <f aca="false">IF($A298="","",IFERROR(IF(INDEX(tblKasa[Tarih],ROW($A298)-ROW(tblKasa[[#Headers],[Tarih]])+1)=0,RaporTarihi,INDEX(tblKasa[Tarih],ROW($A298)-ROW(tblKasa[[#Headers],[Tarih]])+1))-$A298,RaporTarihi-$A298))</f>
        <v/>
      </c>
      <c r="E298" s="18" t="n">
        <f aca="false">IF($C298="",0,ROUND($C298*$D298,0))</f>
        <v>0</v>
      </c>
      <c r="F298" s="22"/>
    </row>
    <row r="299" customFormat="false" ht="15" hidden="false" customHeight="false" outlineLevel="0" collapsed="false">
      <c r="A299" s="21"/>
      <c r="B299" s="22"/>
      <c r="C299" s="23"/>
      <c r="D299" s="19" t="str">
        <f aca="false">IF($A299="","",IFERROR(IF(INDEX(tblKasa[Tarih],ROW($A299)-ROW(tblKasa[[#Headers],[Tarih]])+1)=0,RaporTarihi,INDEX(tblKasa[Tarih],ROW($A299)-ROW(tblKasa[[#Headers],[Tarih]])+1))-$A299,RaporTarihi-$A299))</f>
        <v/>
      </c>
      <c r="E299" s="18" t="n">
        <f aca="false">IF($C299="",0,ROUND($C299*$D299,0))</f>
        <v>0</v>
      </c>
      <c r="F299" s="22"/>
    </row>
    <row r="300" customFormat="false" ht="15" hidden="false" customHeight="false" outlineLevel="0" collapsed="false">
      <c r="A300" s="21"/>
      <c r="B300" s="22"/>
      <c r="C300" s="23"/>
      <c r="D300" s="19" t="str">
        <f aca="false">IF($A300="","",IFERROR(IF(INDEX(tblKasa[Tarih],ROW($A300)-ROW(tblKasa[[#Headers],[Tarih]])+1)=0,RaporTarihi,INDEX(tblKasa[Tarih],ROW($A300)-ROW(tblKasa[[#Headers],[Tarih]])+1))-$A300,RaporTarihi-$A300))</f>
        <v/>
      </c>
      <c r="E300" s="18" t="n">
        <f aca="false">IF($C300="",0,ROUND($C300*$D300,0))</f>
        <v>0</v>
      </c>
      <c r="F300" s="22"/>
    </row>
    <row r="301" customFormat="false" ht="15" hidden="false" customHeight="false" outlineLevel="0" collapsed="false">
      <c r="A301" s="21"/>
      <c r="B301" s="22"/>
      <c r="C301" s="23"/>
      <c r="D301" s="19" t="str">
        <f aca="false">IF($A301="","",IFERROR(IF(INDEX(tblKasa[Tarih],ROW($A301)-ROW(tblKasa[[#Headers],[Tarih]])+1)=0,RaporTarihi,INDEX(tblKasa[Tarih],ROW($A301)-ROW(tblKasa[[#Headers],[Tarih]])+1))-$A301,RaporTarihi-$A301))</f>
        <v/>
      </c>
      <c r="E301" s="18" t="n">
        <f aca="false">IF($C301="",0,ROUND($C301*$D301,0))</f>
        <v>0</v>
      </c>
      <c r="F301" s="22"/>
    </row>
    <row r="302" customFormat="false" ht="15" hidden="false" customHeight="false" outlineLevel="0" collapsed="false">
      <c r="A302" s="21"/>
      <c r="B302" s="22"/>
      <c r="C302" s="23"/>
      <c r="D302" s="19" t="str">
        <f aca="false">IF($A302="","",IFERROR(IF(INDEX(tblKasa[Tarih],ROW($A302)-ROW(tblKasa[[#Headers],[Tarih]])+1)=0,RaporTarihi,INDEX(tblKasa[Tarih],ROW($A302)-ROW(tblKasa[[#Headers],[Tarih]])+1))-$A302,RaporTarihi-$A302))</f>
        <v/>
      </c>
      <c r="E302" s="18" t="n">
        <f aca="false">IF($C302="",0,ROUND($C302*$D302,0))</f>
        <v>0</v>
      </c>
      <c r="F302" s="22"/>
    </row>
    <row r="303" customFormat="false" ht="15" hidden="false" customHeight="false" outlineLevel="0" collapsed="false">
      <c r="A303" s="21"/>
      <c r="B303" s="22"/>
      <c r="C303" s="23"/>
      <c r="D303" s="19" t="str">
        <f aca="false">IF($A303="","",IFERROR(IF(INDEX(tblKasa[Tarih],ROW($A303)-ROW(tblKasa[[#Headers],[Tarih]])+1)=0,RaporTarihi,INDEX(tblKasa[Tarih],ROW($A303)-ROW(tblKasa[[#Headers],[Tarih]])+1))-$A303,RaporTarihi-$A303))</f>
        <v/>
      </c>
      <c r="E303" s="18" t="n">
        <f aca="false">IF($C303="",0,ROUND($C303*$D303,0))</f>
        <v>0</v>
      </c>
      <c r="F303" s="22"/>
    </row>
    <row r="304" customFormat="false" ht="15" hidden="false" customHeight="false" outlineLevel="0" collapsed="false">
      <c r="A304" s="21"/>
      <c r="B304" s="22"/>
      <c r="C304" s="23"/>
      <c r="D304" s="19" t="str">
        <f aca="false">IF($A304="","",IFERROR(IF(INDEX(tblKasa[Tarih],ROW($A304)-ROW(tblKasa[[#Headers],[Tarih]])+1)=0,RaporTarihi,INDEX(tblKasa[Tarih],ROW($A304)-ROW(tblKasa[[#Headers],[Tarih]])+1))-$A304,RaporTarihi-$A304))</f>
        <v/>
      </c>
      <c r="E304" s="18" t="n">
        <f aca="false">IF($C304="",0,ROUND($C304*$D304,0))</f>
        <v>0</v>
      </c>
      <c r="F304" s="22"/>
    </row>
    <row r="305" customFormat="false" ht="15" hidden="false" customHeight="false" outlineLevel="0" collapsed="false">
      <c r="A305" s="21"/>
      <c r="B305" s="22"/>
      <c r="C305" s="23"/>
      <c r="D305" s="19" t="str">
        <f aca="false">IF($A305="","",IFERROR(IF(INDEX(tblKasa[Tarih],ROW($A305)-ROW(tblKasa[[#Headers],[Tarih]])+1)=0,RaporTarihi,INDEX(tblKasa[Tarih],ROW($A305)-ROW(tblKasa[[#Headers],[Tarih]])+1))-$A305,RaporTarihi-$A305))</f>
        <v/>
      </c>
      <c r="E305" s="18" t="n">
        <f aca="false">IF($C305="",0,ROUND($C305*$D305,0))</f>
        <v>0</v>
      </c>
      <c r="F305" s="22"/>
    </row>
    <row r="306" customFormat="false" ht="15" hidden="false" customHeight="false" outlineLevel="0" collapsed="false">
      <c r="A306" s="21"/>
      <c r="B306" s="22"/>
      <c r="C306" s="23"/>
      <c r="D306" s="19" t="str">
        <f aca="false">IF($A306="","",IFERROR(IF(INDEX(tblKasa[Tarih],ROW($A306)-ROW(tblKasa[[#Headers],[Tarih]])+1)=0,RaporTarihi,INDEX(tblKasa[Tarih],ROW($A306)-ROW(tblKasa[[#Headers],[Tarih]])+1))-$A306,RaporTarihi-$A306))</f>
        <v/>
      </c>
      <c r="E306" s="18" t="n">
        <f aca="false">IF($C306="",0,ROUND($C306*$D306,0))</f>
        <v>0</v>
      </c>
      <c r="F306" s="22"/>
    </row>
    <row r="307" customFormat="false" ht="15" hidden="false" customHeight="false" outlineLevel="0" collapsed="false">
      <c r="A307" s="21"/>
      <c r="B307" s="22"/>
      <c r="C307" s="23"/>
      <c r="D307" s="19" t="str">
        <f aca="false">IF($A307="","",IFERROR(IF(INDEX(tblKasa[Tarih],ROW($A307)-ROW(tblKasa[[#Headers],[Tarih]])+1)=0,RaporTarihi,INDEX(tblKasa[Tarih],ROW($A307)-ROW(tblKasa[[#Headers],[Tarih]])+1))-$A307,RaporTarihi-$A307))</f>
        <v/>
      </c>
      <c r="E307" s="18" t="n">
        <f aca="false">IF($C307="",0,ROUND($C307*$D307,0))</f>
        <v>0</v>
      </c>
      <c r="F307" s="22"/>
    </row>
    <row r="308" customFormat="false" ht="15" hidden="false" customHeight="false" outlineLevel="0" collapsed="false">
      <c r="A308" s="21"/>
      <c r="B308" s="22"/>
      <c r="C308" s="23"/>
      <c r="D308" s="19" t="str">
        <f aca="false">IF($A308="","",IFERROR(IF(INDEX(tblKasa[Tarih],ROW($A308)-ROW(tblKasa[[#Headers],[Tarih]])+1)=0,RaporTarihi,INDEX(tblKasa[Tarih],ROW($A308)-ROW(tblKasa[[#Headers],[Tarih]])+1))-$A308,RaporTarihi-$A308))</f>
        <v/>
      </c>
      <c r="E308" s="18" t="n">
        <f aca="false">IF($C308="",0,ROUND($C308*$D308,0))</f>
        <v>0</v>
      </c>
      <c r="F308" s="22"/>
    </row>
    <row r="309" customFormat="false" ht="15" hidden="false" customHeight="false" outlineLevel="0" collapsed="false">
      <c r="A309" s="21"/>
      <c r="B309" s="22"/>
      <c r="C309" s="23"/>
      <c r="D309" s="19" t="str">
        <f aca="false">IF($A309="","",IFERROR(IF(INDEX(tblKasa[Tarih],ROW($A309)-ROW(tblKasa[[#Headers],[Tarih]])+1)=0,RaporTarihi,INDEX(tblKasa[Tarih],ROW($A309)-ROW(tblKasa[[#Headers],[Tarih]])+1))-$A309,RaporTarihi-$A309))</f>
        <v/>
      </c>
      <c r="E309" s="18" t="n">
        <f aca="false">IF($C309="",0,ROUND($C309*$D309,0))</f>
        <v>0</v>
      </c>
      <c r="F309" s="22"/>
    </row>
    <row r="310" customFormat="false" ht="15" hidden="false" customHeight="false" outlineLevel="0" collapsed="false">
      <c r="A310" s="21"/>
      <c r="B310" s="22"/>
      <c r="C310" s="23"/>
      <c r="D310" s="19" t="str">
        <f aca="false">IF($A310="","",IFERROR(IF(INDEX(tblKasa[Tarih],ROW($A310)-ROW(tblKasa[[#Headers],[Tarih]])+1)=0,RaporTarihi,INDEX(tblKasa[Tarih],ROW($A310)-ROW(tblKasa[[#Headers],[Tarih]])+1))-$A310,RaporTarihi-$A310))</f>
        <v/>
      </c>
      <c r="E310" s="18" t="n">
        <f aca="false">IF($C310="",0,ROUND($C310*$D310,0))</f>
        <v>0</v>
      </c>
      <c r="F310" s="22"/>
    </row>
    <row r="311" customFormat="false" ht="15" hidden="false" customHeight="false" outlineLevel="0" collapsed="false">
      <c r="A311" s="21"/>
      <c r="B311" s="22"/>
      <c r="C311" s="23"/>
      <c r="D311" s="19" t="str">
        <f aca="false">IF($A311="","",IFERROR(IF(INDEX(tblKasa[Tarih],ROW($A311)-ROW(tblKasa[[#Headers],[Tarih]])+1)=0,RaporTarihi,INDEX(tblKasa[Tarih],ROW($A311)-ROW(tblKasa[[#Headers],[Tarih]])+1))-$A311,RaporTarihi-$A311))</f>
        <v/>
      </c>
      <c r="E311" s="18" t="n">
        <f aca="false">IF($C311="",0,ROUND($C311*$D311,0))</f>
        <v>0</v>
      </c>
      <c r="F311" s="22"/>
    </row>
    <row r="312" customFormat="false" ht="15" hidden="false" customHeight="false" outlineLevel="0" collapsed="false">
      <c r="A312" s="21"/>
      <c r="B312" s="22"/>
      <c r="C312" s="23"/>
      <c r="D312" s="19" t="str">
        <f aca="false">IF($A312="","",IFERROR(IF(INDEX(tblKasa[Tarih],ROW($A312)-ROW(tblKasa[[#Headers],[Tarih]])+1)=0,RaporTarihi,INDEX(tblKasa[Tarih],ROW($A312)-ROW(tblKasa[[#Headers],[Tarih]])+1))-$A312,RaporTarihi-$A312))</f>
        <v/>
      </c>
      <c r="E312" s="18" t="n">
        <f aca="false">IF($C312="",0,ROUND($C312*$D312,0))</f>
        <v>0</v>
      </c>
      <c r="F312" s="22"/>
    </row>
    <row r="313" customFormat="false" ht="15" hidden="false" customHeight="false" outlineLevel="0" collapsed="false">
      <c r="A313" s="21"/>
      <c r="B313" s="22"/>
      <c r="C313" s="23"/>
      <c r="D313" s="19" t="str">
        <f aca="false">IF($A313="","",IFERROR(IF(INDEX(tblKasa[Tarih],ROW($A313)-ROW(tblKasa[[#Headers],[Tarih]])+1)=0,RaporTarihi,INDEX(tblKasa[Tarih],ROW($A313)-ROW(tblKasa[[#Headers],[Tarih]])+1))-$A313,RaporTarihi-$A313))</f>
        <v/>
      </c>
      <c r="E313" s="18" t="n">
        <f aca="false">IF($C313="",0,ROUND($C313*$D313,0))</f>
        <v>0</v>
      </c>
      <c r="F313" s="22"/>
    </row>
    <row r="314" customFormat="false" ht="15" hidden="false" customHeight="false" outlineLevel="0" collapsed="false">
      <c r="A314" s="21"/>
      <c r="B314" s="22"/>
      <c r="C314" s="23"/>
      <c r="D314" s="19" t="str">
        <f aca="false">IF($A314="","",IFERROR(IF(INDEX(tblKasa[Tarih],ROW($A314)-ROW(tblKasa[[#Headers],[Tarih]])+1)=0,RaporTarihi,INDEX(tblKasa[Tarih],ROW($A314)-ROW(tblKasa[[#Headers],[Tarih]])+1))-$A314,RaporTarihi-$A314))</f>
        <v/>
      </c>
      <c r="E314" s="18" t="n">
        <f aca="false">IF($C314="",0,ROUND($C314*$D314,0))</f>
        <v>0</v>
      </c>
      <c r="F314" s="22"/>
    </row>
    <row r="315" customFormat="false" ht="15" hidden="false" customHeight="false" outlineLevel="0" collapsed="false">
      <c r="A315" s="21"/>
      <c r="B315" s="22"/>
      <c r="C315" s="23"/>
      <c r="D315" s="19" t="str">
        <f aca="false">IF($A315="","",IFERROR(IF(INDEX(tblKasa[Tarih],ROW($A315)-ROW(tblKasa[[#Headers],[Tarih]])+1)=0,RaporTarihi,INDEX(tblKasa[Tarih],ROW($A315)-ROW(tblKasa[[#Headers],[Tarih]])+1))-$A315,RaporTarihi-$A315))</f>
        <v/>
      </c>
      <c r="E315" s="18" t="n">
        <f aca="false">IF($C315="",0,ROUND($C315*$D315,0))</f>
        <v>0</v>
      </c>
      <c r="F315" s="22"/>
    </row>
    <row r="316" customFormat="false" ht="15" hidden="false" customHeight="false" outlineLevel="0" collapsed="false">
      <c r="A316" s="21"/>
      <c r="B316" s="22"/>
      <c r="C316" s="23"/>
      <c r="D316" s="19" t="str">
        <f aca="false">IF($A316="","",IFERROR(IF(INDEX(tblKasa[Tarih],ROW($A316)-ROW(tblKasa[[#Headers],[Tarih]])+1)=0,RaporTarihi,INDEX(tblKasa[Tarih],ROW($A316)-ROW(tblKasa[[#Headers],[Tarih]])+1))-$A316,RaporTarihi-$A316))</f>
        <v/>
      </c>
      <c r="E316" s="18" t="n">
        <f aca="false">IF($C316="",0,ROUND($C316*$D316,0))</f>
        <v>0</v>
      </c>
      <c r="F316" s="22"/>
    </row>
    <row r="317" customFormat="false" ht="15" hidden="false" customHeight="false" outlineLevel="0" collapsed="false">
      <c r="A317" s="21"/>
      <c r="B317" s="22"/>
      <c r="C317" s="23"/>
      <c r="D317" s="19" t="str">
        <f aca="false">IF($A317="","",IFERROR(IF(INDEX(tblKasa[Tarih],ROW($A317)-ROW(tblKasa[[#Headers],[Tarih]])+1)=0,RaporTarihi,INDEX(tblKasa[Tarih],ROW($A317)-ROW(tblKasa[[#Headers],[Tarih]])+1))-$A317,RaporTarihi-$A317))</f>
        <v/>
      </c>
      <c r="E317" s="18" t="n">
        <f aca="false">IF($C317="",0,ROUND($C317*$D317,0))</f>
        <v>0</v>
      </c>
      <c r="F317" s="22"/>
    </row>
    <row r="318" customFormat="false" ht="15" hidden="false" customHeight="false" outlineLevel="0" collapsed="false">
      <c r="A318" s="21"/>
      <c r="B318" s="22"/>
      <c r="C318" s="23"/>
      <c r="D318" s="19" t="str">
        <f aca="false">IF($A318="","",IFERROR(IF(INDEX(tblKasa[Tarih],ROW($A318)-ROW(tblKasa[[#Headers],[Tarih]])+1)=0,RaporTarihi,INDEX(tblKasa[Tarih],ROW($A318)-ROW(tblKasa[[#Headers],[Tarih]])+1))-$A318,RaporTarihi-$A318))</f>
        <v/>
      </c>
      <c r="E318" s="18" t="n">
        <f aca="false">IF($C318="",0,ROUND($C318*$D318,0))</f>
        <v>0</v>
      </c>
      <c r="F318" s="22"/>
    </row>
    <row r="319" customFormat="false" ht="15" hidden="false" customHeight="false" outlineLevel="0" collapsed="false">
      <c r="A319" s="21"/>
      <c r="B319" s="22"/>
      <c r="C319" s="23"/>
      <c r="D319" s="19" t="str">
        <f aca="false">IF($A319="","",IFERROR(IF(INDEX(tblKasa[Tarih],ROW($A319)-ROW(tblKasa[[#Headers],[Tarih]])+1)=0,RaporTarihi,INDEX(tblKasa[Tarih],ROW($A319)-ROW(tblKasa[[#Headers],[Tarih]])+1))-$A319,RaporTarihi-$A319))</f>
        <v/>
      </c>
      <c r="E319" s="18" t="n">
        <f aca="false">IF($C319="",0,ROUND($C319*$D319,0))</f>
        <v>0</v>
      </c>
      <c r="F319" s="22"/>
    </row>
    <row r="320" customFormat="false" ht="15" hidden="false" customHeight="false" outlineLevel="0" collapsed="false">
      <c r="A320" s="21"/>
      <c r="B320" s="22"/>
      <c r="C320" s="23"/>
      <c r="D320" s="19" t="str">
        <f aca="false">IF($A320="","",IFERROR(IF(INDEX(tblKasa[Tarih],ROW($A320)-ROW(tblKasa[[#Headers],[Tarih]])+1)=0,RaporTarihi,INDEX(tblKasa[Tarih],ROW($A320)-ROW(tblKasa[[#Headers],[Tarih]])+1))-$A320,RaporTarihi-$A320))</f>
        <v/>
      </c>
      <c r="E320" s="18" t="n">
        <f aca="false">IF($C320="",0,ROUND($C320*$D320,0))</f>
        <v>0</v>
      </c>
      <c r="F320" s="22"/>
    </row>
    <row r="321" customFormat="false" ht="15" hidden="false" customHeight="false" outlineLevel="0" collapsed="false">
      <c r="A321" s="21"/>
      <c r="B321" s="22"/>
      <c r="C321" s="23"/>
      <c r="D321" s="19" t="str">
        <f aca="false">IF($A321="","",IFERROR(IF(INDEX(tblKasa[Tarih],ROW($A321)-ROW(tblKasa[[#Headers],[Tarih]])+1)=0,RaporTarihi,INDEX(tblKasa[Tarih],ROW($A321)-ROW(tblKasa[[#Headers],[Tarih]])+1))-$A321,RaporTarihi-$A321))</f>
        <v/>
      </c>
      <c r="E321" s="18" t="n">
        <f aca="false">IF($C321="",0,ROUND($C321*$D321,0))</f>
        <v>0</v>
      </c>
      <c r="F321" s="22"/>
    </row>
    <row r="322" customFormat="false" ht="15" hidden="false" customHeight="false" outlineLevel="0" collapsed="false">
      <c r="A322" s="21"/>
      <c r="B322" s="22"/>
      <c r="C322" s="23"/>
      <c r="D322" s="19" t="str">
        <f aca="false">IF($A322="","",IFERROR(IF(INDEX(tblKasa[Tarih],ROW($A322)-ROW(tblKasa[[#Headers],[Tarih]])+1)=0,RaporTarihi,INDEX(tblKasa[Tarih],ROW($A322)-ROW(tblKasa[[#Headers],[Tarih]])+1))-$A322,RaporTarihi-$A322))</f>
        <v/>
      </c>
      <c r="E322" s="18" t="n">
        <f aca="false">IF($C322="",0,ROUND($C322*$D322,0))</f>
        <v>0</v>
      </c>
      <c r="F322" s="22"/>
    </row>
    <row r="323" customFormat="false" ht="15" hidden="false" customHeight="false" outlineLevel="0" collapsed="false">
      <c r="A323" s="21"/>
      <c r="B323" s="22"/>
      <c r="C323" s="23"/>
      <c r="D323" s="19" t="str">
        <f aca="false">IF($A323="","",IFERROR(IF(INDEX(tblKasa[Tarih],ROW($A323)-ROW(tblKasa[[#Headers],[Tarih]])+1)=0,RaporTarihi,INDEX(tblKasa[Tarih],ROW($A323)-ROW(tblKasa[[#Headers],[Tarih]])+1))-$A323,RaporTarihi-$A323))</f>
        <v/>
      </c>
      <c r="E323" s="18" t="n">
        <f aca="false">IF($C323="",0,ROUND($C323*$D323,0))</f>
        <v>0</v>
      </c>
      <c r="F323" s="22"/>
    </row>
    <row r="324" customFormat="false" ht="15" hidden="false" customHeight="false" outlineLevel="0" collapsed="false">
      <c r="A324" s="21"/>
      <c r="B324" s="22"/>
      <c r="C324" s="23"/>
      <c r="D324" s="19" t="str">
        <f aca="false">IF($A324="","",IFERROR(IF(INDEX(tblKasa[Tarih],ROW($A324)-ROW(tblKasa[[#Headers],[Tarih]])+1)=0,RaporTarihi,INDEX(tblKasa[Tarih],ROW($A324)-ROW(tblKasa[[#Headers],[Tarih]])+1))-$A324,RaporTarihi-$A324))</f>
        <v/>
      </c>
      <c r="E324" s="18" t="n">
        <f aca="false">IF($C324="",0,ROUND($C324*$D324,0))</f>
        <v>0</v>
      </c>
      <c r="F324" s="22"/>
    </row>
    <row r="325" customFormat="false" ht="15" hidden="false" customHeight="false" outlineLevel="0" collapsed="false">
      <c r="A325" s="21"/>
      <c r="B325" s="22"/>
      <c r="C325" s="23"/>
      <c r="D325" s="19" t="str">
        <f aca="false">IF($A325="","",IFERROR(IF(INDEX(tblKasa[Tarih],ROW($A325)-ROW(tblKasa[[#Headers],[Tarih]])+1)=0,RaporTarihi,INDEX(tblKasa[Tarih],ROW($A325)-ROW(tblKasa[[#Headers],[Tarih]])+1))-$A325,RaporTarihi-$A325))</f>
        <v/>
      </c>
      <c r="E325" s="18" t="n">
        <f aca="false">IF($C325="",0,ROUND($C325*$D325,0))</f>
        <v>0</v>
      </c>
      <c r="F325" s="22"/>
    </row>
    <row r="326" customFormat="false" ht="15" hidden="false" customHeight="false" outlineLevel="0" collapsed="false">
      <c r="A326" s="21"/>
      <c r="B326" s="22"/>
      <c r="C326" s="23"/>
      <c r="D326" s="19" t="str">
        <f aca="false">IF($A326="","",IFERROR(IF(INDEX(tblKasa[Tarih],ROW($A326)-ROW(tblKasa[[#Headers],[Tarih]])+1)=0,RaporTarihi,INDEX(tblKasa[Tarih],ROW($A326)-ROW(tblKasa[[#Headers],[Tarih]])+1))-$A326,RaporTarihi-$A326))</f>
        <v/>
      </c>
      <c r="E326" s="18" t="n">
        <f aca="false">IF($C326="",0,ROUND($C326*$D326,0))</f>
        <v>0</v>
      </c>
      <c r="F326" s="22"/>
    </row>
    <row r="327" customFormat="false" ht="15" hidden="false" customHeight="false" outlineLevel="0" collapsed="false">
      <c r="A327" s="21"/>
      <c r="B327" s="22"/>
      <c r="C327" s="23"/>
      <c r="D327" s="19" t="str">
        <f aca="false">IF($A327="","",IFERROR(IF(INDEX(tblKasa[Tarih],ROW($A327)-ROW(tblKasa[[#Headers],[Tarih]])+1)=0,RaporTarihi,INDEX(tblKasa[Tarih],ROW($A327)-ROW(tblKasa[[#Headers],[Tarih]])+1))-$A327,RaporTarihi-$A327))</f>
        <v/>
      </c>
      <c r="E327" s="18" t="n">
        <f aca="false">IF($C327="",0,ROUND($C327*$D327,0))</f>
        <v>0</v>
      </c>
      <c r="F327" s="22"/>
    </row>
    <row r="328" customFormat="false" ht="15" hidden="false" customHeight="false" outlineLevel="0" collapsed="false">
      <c r="A328" s="21"/>
      <c r="B328" s="22"/>
      <c r="C328" s="23"/>
      <c r="D328" s="19" t="str">
        <f aca="false">IF($A328="","",IFERROR(IF(INDEX(tblKasa[Tarih],ROW($A328)-ROW(tblKasa[[#Headers],[Tarih]])+1)=0,RaporTarihi,INDEX(tblKasa[Tarih],ROW($A328)-ROW(tblKasa[[#Headers],[Tarih]])+1))-$A328,RaporTarihi-$A328))</f>
        <v/>
      </c>
      <c r="E328" s="18" t="n">
        <f aca="false">IF($C328="",0,ROUND($C328*$D328,0))</f>
        <v>0</v>
      </c>
      <c r="F328" s="22"/>
    </row>
    <row r="329" customFormat="false" ht="15" hidden="false" customHeight="false" outlineLevel="0" collapsed="false">
      <c r="A329" s="21"/>
      <c r="B329" s="22"/>
      <c r="C329" s="23"/>
      <c r="D329" s="19" t="str">
        <f aca="false">IF($A329="","",IFERROR(IF(INDEX(tblKasa[Tarih],ROW($A329)-ROW(tblKasa[[#Headers],[Tarih]])+1)=0,RaporTarihi,INDEX(tblKasa[Tarih],ROW($A329)-ROW(tblKasa[[#Headers],[Tarih]])+1))-$A329,RaporTarihi-$A329))</f>
        <v/>
      </c>
      <c r="E329" s="18" t="n">
        <f aca="false">IF($C329="",0,ROUND($C329*$D329,0))</f>
        <v>0</v>
      </c>
      <c r="F329" s="22"/>
    </row>
    <row r="330" customFormat="false" ht="15" hidden="false" customHeight="false" outlineLevel="0" collapsed="false">
      <c r="A330" s="21"/>
      <c r="B330" s="22"/>
      <c r="C330" s="23"/>
      <c r="D330" s="19" t="str">
        <f aca="false">IF($A330="","",IFERROR(IF(INDEX(tblKasa[Tarih],ROW($A330)-ROW(tblKasa[[#Headers],[Tarih]])+1)=0,RaporTarihi,INDEX(tblKasa[Tarih],ROW($A330)-ROW(tblKasa[[#Headers],[Tarih]])+1))-$A330,RaporTarihi-$A330))</f>
        <v/>
      </c>
      <c r="E330" s="18" t="n">
        <f aca="false">IF($C330="",0,ROUND($C330*$D330,0))</f>
        <v>0</v>
      </c>
      <c r="F330" s="22"/>
    </row>
    <row r="331" customFormat="false" ht="15" hidden="false" customHeight="false" outlineLevel="0" collapsed="false">
      <c r="A331" s="21"/>
      <c r="B331" s="22"/>
      <c r="C331" s="23"/>
      <c r="D331" s="19" t="str">
        <f aca="false">IF($A331="","",IFERROR(IF(INDEX(tblKasa[Tarih],ROW($A331)-ROW(tblKasa[[#Headers],[Tarih]])+1)=0,RaporTarihi,INDEX(tblKasa[Tarih],ROW($A331)-ROW(tblKasa[[#Headers],[Tarih]])+1))-$A331,RaporTarihi-$A331))</f>
        <v/>
      </c>
      <c r="E331" s="18" t="n">
        <f aca="false">IF($C331="",0,ROUND($C331*$D331,0))</f>
        <v>0</v>
      </c>
      <c r="F331" s="22"/>
    </row>
    <row r="332" customFormat="false" ht="15" hidden="false" customHeight="false" outlineLevel="0" collapsed="false">
      <c r="A332" s="21"/>
      <c r="B332" s="22"/>
      <c r="C332" s="23"/>
      <c r="D332" s="19" t="str">
        <f aca="false">IF($A332="","",IFERROR(IF(INDEX(tblKasa[Tarih],ROW($A332)-ROW(tblKasa[[#Headers],[Tarih]])+1)=0,RaporTarihi,INDEX(tblKasa[Tarih],ROW($A332)-ROW(tblKasa[[#Headers],[Tarih]])+1))-$A332,RaporTarihi-$A332))</f>
        <v/>
      </c>
      <c r="E332" s="18" t="n">
        <f aca="false">IF($C332="",0,ROUND($C332*$D332,0))</f>
        <v>0</v>
      </c>
      <c r="F332" s="22"/>
    </row>
    <row r="333" customFormat="false" ht="15" hidden="false" customHeight="false" outlineLevel="0" collapsed="false">
      <c r="A333" s="21"/>
      <c r="B333" s="22"/>
      <c r="C333" s="23"/>
      <c r="D333" s="19" t="str">
        <f aca="false">IF($A333="","",IFERROR(IF(INDEX(tblKasa[Tarih],ROW($A333)-ROW(tblKasa[[#Headers],[Tarih]])+1)=0,RaporTarihi,INDEX(tblKasa[Tarih],ROW($A333)-ROW(tblKasa[[#Headers],[Tarih]])+1))-$A333,RaporTarihi-$A333))</f>
        <v/>
      </c>
      <c r="E333" s="18" t="n">
        <f aca="false">IF($C333="",0,ROUND($C333*$D333,0))</f>
        <v>0</v>
      </c>
      <c r="F333" s="22"/>
    </row>
    <row r="334" customFormat="false" ht="15" hidden="false" customHeight="false" outlineLevel="0" collapsed="false">
      <c r="A334" s="21"/>
      <c r="B334" s="22"/>
      <c r="C334" s="23"/>
      <c r="D334" s="19" t="str">
        <f aca="false">IF($A334="","",IFERROR(IF(INDEX(tblKasa[Tarih],ROW($A334)-ROW(tblKasa[[#Headers],[Tarih]])+1)=0,RaporTarihi,INDEX(tblKasa[Tarih],ROW($A334)-ROW(tblKasa[[#Headers],[Tarih]])+1))-$A334,RaporTarihi-$A334))</f>
        <v/>
      </c>
      <c r="E334" s="18" t="n">
        <f aca="false">IF($C334="",0,ROUND($C334*$D334,0))</f>
        <v>0</v>
      </c>
      <c r="F334" s="22"/>
    </row>
    <row r="335" customFormat="false" ht="15" hidden="false" customHeight="false" outlineLevel="0" collapsed="false">
      <c r="A335" s="21"/>
      <c r="B335" s="22"/>
      <c r="C335" s="23"/>
      <c r="D335" s="19" t="str">
        <f aca="false">IF($A335="","",IFERROR(IF(INDEX(tblKasa[Tarih],ROW($A335)-ROW(tblKasa[[#Headers],[Tarih]])+1)=0,RaporTarihi,INDEX(tblKasa[Tarih],ROW($A335)-ROW(tblKasa[[#Headers],[Tarih]])+1))-$A335,RaporTarihi-$A335))</f>
        <v/>
      </c>
      <c r="E335" s="18" t="n">
        <f aca="false">IF($C335="",0,ROUND($C335*$D335,0))</f>
        <v>0</v>
      </c>
      <c r="F335" s="22"/>
    </row>
    <row r="336" customFormat="false" ht="15" hidden="false" customHeight="false" outlineLevel="0" collapsed="false">
      <c r="A336" s="21"/>
      <c r="B336" s="22"/>
      <c r="C336" s="23"/>
      <c r="D336" s="19" t="str">
        <f aca="false">IF($A336="","",IFERROR(IF(INDEX(tblKasa[Tarih],ROW($A336)-ROW(tblKasa[[#Headers],[Tarih]])+1)=0,RaporTarihi,INDEX(tblKasa[Tarih],ROW($A336)-ROW(tblKasa[[#Headers],[Tarih]])+1))-$A336,RaporTarihi-$A336))</f>
        <v/>
      </c>
      <c r="E336" s="18" t="n">
        <f aca="false">IF($C336="",0,ROUND($C336*$D336,0))</f>
        <v>0</v>
      </c>
      <c r="F336" s="22"/>
    </row>
    <row r="337" customFormat="false" ht="15" hidden="false" customHeight="false" outlineLevel="0" collapsed="false">
      <c r="A337" s="21"/>
      <c r="B337" s="22"/>
      <c r="C337" s="23"/>
      <c r="D337" s="19" t="str">
        <f aca="false">IF($A337="","",IFERROR(IF(INDEX(tblKasa[Tarih],ROW($A337)-ROW(tblKasa[[#Headers],[Tarih]])+1)=0,RaporTarihi,INDEX(tblKasa[Tarih],ROW($A337)-ROW(tblKasa[[#Headers],[Tarih]])+1))-$A337,RaporTarihi-$A337))</f>
        <v/>
      </c>
      <c r="E337" s="18" t="n">
        <f aca="false">IF($C337="",0,ROUND($C337*$D337,0))</f>
        <v>0</v>
      </c>
      <c r="F337" s="22"/>
    </row>
    <row r="338" customFormat="false" ht="15" hidden="false" customHeight="false" outlineLevel="0" collapsed="false">
      <c r="A338" s="21"/>
      <c r="B338" s="22"/>
      <c r="C338" s="23"/>
      <c r="D338" s="19" t="str">
        <f aca="false">IF($A338="","",IFERROR(IF(INDEX(tblKasa[Tarih],ROW($A338)-ROW(tblKasa[[#Headers],[Tarih]])+1)=0,RaporTarihi,INDEX(tblKasa[Tarih],ROW($A338)-ROW(tblKasa[[#Headers],[Tarih]])+1))-$A338,RaporTarihi-$A338))</f>
        <v/>
      </c>
      <c r="E338" s="18" t="n">
        <f aca="false">IF($C338="",0,ROUND($C338*$D338,0))</f>
        <v>0</v>
      </c>
      <c r="F338" s="22"/>
    </row>
    <row r="339" customFormat="false" ht="15" hidden="false" customHeight="false" outlineLevel="0" collapsed="false">
      <c r="A339" s="21"/>
      <c r="B339" s="22"/>
      <c r="C339" s="23"/>
      <c r="D339" s="19" t="str">
        <f aca="false">IF($A339="","",IFERROR(IF(INDEX(tblKasa[Tarih],ROW($A339)-ROW(tblKasa[[#Headers],[Tarih]])+1)=0,RaporTarihi,INDEX(tblKasa[Tarih],ROW($A339)-ROW(tblKasa[[#Headers],[Tarih]])+1))-$A339,RaporTarihi-$A339))</f>
        <v/>
      </c>
      <c r="E339" s="18" t="n">
        <f aca="false">IF($C339="",0,ROUND($C339*$D339,0))</f>
        <v>0</v>
      </c>
      <c r="F339" s="22"/>
    </row>
    <row r="340" customFormat="false" ht="15" hidden="false" customHeight="false" outlineLevel="0" collapsed="false">
      <c r="A340" s="21"/>
      <c r="B340" s="22"/>
      <c r="C340" s="23"/>
      <c r="D340" s="19" t="str">
        <f aca="false">IF($A340="","",IFERROR(IF(INDEX(tblKasa[Tarih],ROW($A340)-ROW(tblKasa[[#Headers],[Tarih]])+1)=0,RaporTarihi,INDEX(tblKasa[Tarih],ROW($A340)-ROW(tblKasa[[#Headers],[Tarih]])+1))-$A340,RaporTarihi-$A340))</f>
        <v/>
      </c>
      <c r="E340" s="18" t="n">
        <f aca="false">IF($C340="",0,ROUND($C340*$D340,0))</f>
        <v>0</v>
      </c>
      <c r="F340" s="22"/>
    </row>
    <row r="341" customFormat="false" ht="15" hidden="false" customHeight="false" outlineLevel="0" collapsed="false">
      <c r="A341" s="21"/>
      <c r="B341" s="22"/>
      <c r="C341" s="23"/>
      <c r="D341" s="19" t="str">
        <f aca="false">IF($A341="","",IFERROR(IF(INDEX(tblKasa[Tarih],ROW($A341)-ROW(tblKasa[[#Headers],[Tarih]])+1)=0,RaporTarihi,INDEX(tblKasa[Tarih],ROW($A341)-ROW(tblKasa[[#Headers],[Tarih]])+1))-$A341,RaporTarihi-$A341))</f>
        <v/>
      </c>
      <c r="E341" s="18" t="n">
        <f aca="false">IF($C341="",0,ROUND($C341*$D341,0))</f>
        <v>0</v>
      </c>
      <c r="F341" s="22"/>
    </row>
    <row r="342" customFormat="false" ht="15" hidden="false" customHeight="false" outlineLevel="0" collapsed="false">
      <c r="A342" s="21"/>
      <c r="B342" s="22"/>
      <c r="C342" s="23"/>
      <c r="D342" s="19" t="str">
        <f aca="false">IF($A342="","",IFERROR(IF(INDEX(tblKasa[Tarih],ROW($A342)-ROW(tblKasa[[#Headers],[Tarih]])+1)=0,RaporTarihi,INDEX(tblKasa[Tarih],ROW($A342)-ROW(tblKasa[[#Headers],[Tarih]])+1))-$A342,RaporTarihi-$A342))</f>
        <v/>
      </c>
      <c r="E342" s="18" t="n">
        <f aca="false">IF($C342="",0,ROUND($C342*$D342,0))</f>
        <v>0</v>
      </c>
      <c r="F342" s="22"/>
    </row>
    <row r="343" customFormat="false" ht="15" hidden="false" customHeight="false" outlineLevel="0" collapsed="false">
      <c r="A343" s="21"/>
      <c r="B343" s="22"/>
      <c r="C343" s="23"/>
      <c r="D343" s="19" t="str">
        <f aca="false">IF($A343="","",IFERROR(IF(INDEX(tblKasa[Tarih],ROW($A343)-ROW(tblKasa[[#Headers],[Tarih]])+1)=0,RaporTarihi,INDEX(tblKasa[Tarih],ROW($A343)-ROW(tblKasa[[#Headers],[Tarih]])+1))-$A343,RaporTarihi-$A343))</f>
        <v/>
      </c>
      <c r="E343" s="18" t="n">
        <f aca="false">IF($C343="",0,ROUND($C343*$D343,0))</f>
        <v>0</v>
      </c>
      <c r="F343" s="22"/>
    </row>
    <row r="344" customFormat="false" ht="15" hidden="false" customHeight="false" outlineLevel="0" collapsed="false">
      <c r="A344" s="21"/>
      <c r="B344" s="22"/>
      <c r="C344" s="23"/>
      <c r="D344" s="19" t="str">
        <f aca="false">IF($A344="","",IFERROR(IF(INDEX(tblKasa[Tarih],ROW($A344)-ROW(tblKasa[[#Headers],[Tarih]])+1)=0,RaporTarihi,INDEX(tblKasa[Tarih],ROW($A344)-ROW(tblKasa[[#Headers],[Tarih]])+1))-$A344,RaporTarihi-$A344))</f>
        <v/>
      </c>
      <c r="E344" s="18" t="n">
        <f aca="false">IF($C344="",0,ROUND($C344*$D344,0))</f>
        <v>0</v>
      </c>
      <c r="F344" s="22"/>
    </row>
    <row r="345" customFormat="false" ht="15" hidden="false" customHeight="false" outlineLevel="0" collapsed="false">
      <c r="A345" s="21"/>
      <c r="B345" s="22"/>
      <c r="C345" s="23"/>
      <c r="D345" s="19" t="str">
        <f aca="false">IF($A345="","",IFERROR(IF(INDEX(tblKasa[Tarih],ROW($A345)-ROW(tblKasa[[#Headers],[Tarih]])+1)=0,RaporTarihi,INDEX(tblKasa[Tarih],ROW($A345)-ROW(tblKasa[[#Headers],[Tarih]])+1))-$A345,RaporTarihi-$A345))</f>
        <v/>
      </c>
      <c r="E345" s="18" t="n">
        <f aca="false">IF($C345="",0,ROUND($C345*$D345,0))</f>
        <v>0</v>
      </c>
      <c r="F345" s="22"/>
    </row>
    <row r="346" customFormat="false" ht="15" hidden="false" customHeight="false" outlineLevel="0" collapsed="false">
      <c r="A346" s="21"/>
      <c r="B346" s="22"/>
      <c r="C346" s="23"/>
      <c r="D346" s="19" t="str">
        <f aca="false">IF($A346="","",IFERROR(IF(INDEX(tblKasa[Tarih],ROW($A346)-ROW(tblKasa[[#Headers],[Tarih]])+1)=0,RaporTarihi,INDEX(tblKasa[Tarih],ROW($A346)-ROW(tblKasa[[#Headers],[Tarih]])+1))-$A346,RaporTarihi-$A346))</f>
        <v/>
      </c>
      <c r="E346" s="18" t="n">
        <f aca="false">IF($C346="",0,ROUND($C346*$D346,0))</f>
        <v>0</v>
      </c>
      <c r="F346" s="22"/>
    </row>
    <row r="347" customFormat="false" ht="15" hidden="false" customHeight="false" outlineLevel="0" collapsed="false">
      <c r="A347" s="21"/>
      <c r="B347" s="22"/>
      <c r="C347" s="23"/>
      <c r="D347" s="19" t="str">
        <f aca="false">IF($A347="","",IFERROR(IF(INDEX(tblKasa[Tarih],ROW($A347)-ROW(tblKasa[[#Headers],[Tarih]])+1)=0,RaporTarihi,INDEX(tblKasa[Tarih],ROW($A347)-ROW(tblKasa[[#Headers],[Tarih]])+1))-$A347,RaporTarihi-$A347))</f>
        <v/>
      </c>
      <c r="E347" s="18" t="n">
        <f aca="false">IF($C347="",0,ROUND($C347*$D347,0))</f>
        <v>0</v>
      </c>
      <c r="F347" s="22"/>
    </row>
    <row r="348" customFormat="false" ht="15" hidden="false" customHeight="false" outlineLevel="0" collapsed="false">
      <c r="A348" s="21"/>
      <c r="B348" s="22"/>
      <c r="C348" s="23"/>
      <c r="D348" s="19" t="str">
        <f aca="false">IF($A348="","",IFERROR(IF(INDEX(tblKasa[Tarih],ROW($A348)-ROW(tblKasa[[#Headers],[Tarih]])+1)=0,RaporTarihi,INDEX(tblKasa[Tarih],ROW($A348)-ROW(tblKasa[[#Headers],[Tarih]])+1))-$A348,RaporTarihi-$A348))</f>
        <v/>
      </c>
      <c r="E348" s="18" t="n">
        <f aca="false">IF($C348="",0,ROUND($C348*$D348,0))</f>
        <v>0</v>
      </c>
      <c r="F348" s="22"/>
    </row>
    <row r="349" customFormat="false" ht="15" hidden="false" customHeight="false" outlineLevel="0" collapsed="false">
      <c r="A349" s="21"/>
      <c r="B349" s="22"/>
      <c r="C349" s="23"/>
      <c r="D349" s="19" t="str">
        <f aca="false">IF($A349="","",IFERROR(IF(INDEX(tblKasa[Tarih],ROW($A349)-ROW(tblKasa[[#Headers],[Tarih]])+1)=0,RaporTarihi,INDEX(tblKasa[Tarih],ROW($A349)-ROW(tblKasa[[#Headers],[Tarih]])+1))-$A349,RaporTarihi-$A349))</f>
        <v/>
      </c>
      <c r="E349" s="18" t="n">
        <f aca="false">IF($C349="",0,ROUND($C349*$D349,0))</f>
        <v>0</v>
      </c>
      <c r="F349" s="22"/>
    </row>
    <row r="350" customFormat="false" ht="15" hidden="false" customHeight="false" outlineLevel="0" collapsed="false">
      <c r="A350" s="21"/>
      <c r="B350" s="22"/>
      <c r="C350" s="23"/>
      <c r="D350" s="19" t="str">
        <f aca="false">IF($A350="","",IFERROR(IF(INDEX(tblKasa[Tarih],ROW($A350)-ROW(tblKasa[[#Headers],[Tarih]])+1)=0,RaporTarihi,INDEX(tblKasa[Tarih],ROW($A350)-ROW(tblKasa[[#Headers],[Tarih]])+1))-$A350,RaporTarihi-$A350))</f>
        <v/>
      </c>
      <c r="E350" s="18" t="n">
        <f aca="false">IF($C350="",0,ROUND($C350*$D350,0))</f>
        <v>0</v>
      </c>
      <c r="F350" s="22"/>
    </row>
    <row r="351" customFormat="false" ht="15" hidden="false" customHeight="false" outlineLevel="0" collapsed="false">
      <c r="A351" s="21"/>
      <c r="B351" s="22"/>
      <c r="C351" s="23"/>
      <c r="D351" s="19" t="str">
        <f aca="false">IF($A351="","",IFERROR(IF(INDEX(tblKasa[Tarih],ROW($A351)-ROW(tblKasa[[#Headers],[Tarih]])+1)=0,RaporTarihi,INDEX(tblKasa[Tarih],ROW($A351)-ROW(tblKasa[[#Headers],[Tarih]])+1))-$A351,RaporTarihi-$A351))</f>
        <v/>
      </c>
      <c r="E351" s="18" t="n">
        <f aca="false">IF($C351="",0,ROUND($C351*$D351,0))</f>
        <v>0</v>
      </c>
      <c r="F351" s="22"/>
    </row>
    <row r="352" customFormat="false" ht="15" hidden="false" customHeight="false" outlineLevel="0" collapsed="false">
      <c r="A352" s="21"/>
      <c r="B352" s="22"/>
      <c r="C352" s="23"/>
      <c r="D352" s="19" t="str">
        <f aca="false">IF($A352="","",IFERROR(IF(INDEX(tblKasa[Tarih],ROW($A352)-ROW(tblKasa[[#Headers],[Tarih]])+1)=0,RaporTarihi,INDEX(tblKasa[Tarih],ROW($A352)-ROW(tblKasa[[#Headers],[Tarih]])+1))-$A352,RaporTarihi-$A352))</f>
        <v/>
      </c>
      <c r="E352" s="18" t="n">
        <f aca="false">IF($C352="",0,ROUND($C352*$D352,0))</f>
        <v>0</v>
      </c>
      <c r="F352" s="22"/>
    </row>
    <row r="353" customFormat="false" ht="15" hidden="false" customHeight="false" outlineLevel="0" collapsed="false">
      <c r="A353" s="21"/>
      <c r="B353" s="22"/>
      <c r="C353" s="23"/>
      <c r="D353" s="19" t="str">
        <f aca="false">IF($A353="","",IFERROR(IF(INDEX(tblKasa[Tarih],ROW($A353)-ROW(tblKasa[[#Headers],[Tarih]])+1)=0,RaporTarihi,INDEX(tblKasa[Tarih],ROW($A353)-ROW(tblKasa[[#Headers],[Tarih]])+1))-$A353,RaporTarihi-$A353))</f>
        <v/>
      </c>
      <c r="E353" s="18" t="n">
        <f aca="false">IF($C353="",0,ROUND($C353*$D353,0))</f>
        <v>0</v>
      </c>
      <c r="F353" s="22"/>
    </row>
    <row r="354" customFormat="false" ht="15" hidden="false" customHeight="false" outlineLevel="0" collapsed="false">
      <c r="A354" s="21"/>
      <c r="B354" s="22"/>
      <c r="C354" s="23"/>
      <c r="D354" s="19" t="str">
        <f aca="false">IF($A354="","",IFERROR(IF(INDEX(tblKasa[Tarih],ROW($A354)-ROW(tblKasa[[#Headers],[Tarih]])+1)=0,RaporTarihi,INDEX(tblKasa[Tarih],ROW($A354)-ROW(tblKasa[[#Headers],[Tarih]])+1))-$A354,RaporTarihi-$A354))</f>
        <v/>
      </c>
      <c r="E354" s="18" t="n">
        <f aca="false">IF($C354="",0,ROUND($C354*$D354,0))</f>
        <v>0</v>
      </c>
      <c r="F354" s="22"/>
    </row>
    <row r="355" customFormat="false" ht="15" hidden="false" customHeight="false" outlineLevel="0" collapsed="false">
      <c r="A355" s="21"/>
      <c r="B355" s="22"/>
      <c r="C355" s="23"/>
      <c r="D355" s="19" t="str">
        <f aca="false">IF($A355="","",IFERROR(IF(INDEX(tblKasa[Tarih],ROW($A355)-ROW(tblKasa[[#Headers],[Tarih]])+1)=0,RaporTarihi,INDEX(tblKasa[Tarih],ROW($A355)-ROW(tblKasa[[#Headers],[Tarih]])+1))-$A355,RaporTarihi-$A355))</f>
        <v/>
      </c>
      <c r="E355" s="18" t="n">
        <f aca="false">IF($C355="",0,ROUND($C355*$D355,0))</f>
        <v>0</v>
      </c>
      <c r="F355" s="22"/>
    </row>
    <row r="356" customFormat="false" ht="15" hidden="false" customHeight="false" outlineLevel="0" collapsed="false">
      <c r="A356" s="21"/>
      <c r="B356" s="22"/>
      <c r="C356" s="23"/>
      <c r="D356" s="19" t="str">
        <f aca="false">IF($A356="","",IFERROR(IF(INDEX(tblKasa[Tarih],ROW($A356)-ROW(tblKasa[[#Headers],[Tarih]])+1)=0,RaporTarihi,INDEX(tblKasa[Tarih],ROW($A356)-ROW(tblKasa[[#Headers],[Tarih]])+1))-$A356,RaporTarihi-$A356))</f>
        <v/>
      </c>
      <c r="E356" s="18" t="n">
        <f aca="false">IF($C356="",0,ROUND($C356*$D356,0))</f>
        <v>0</v>
      </c>
      <c r="F356" s="22"/>
    </row>
    <row r="357" customFormat="false" ht="15" hidden="false" customHeight="false" outlineLevel="0" collapsed="false">
      <c r="A357" s="21"/>
      <c r="B357" s="22"/>
      <c r="C357" s="23"/>
      <c r="D357" s="19" t="str">
        <f aca="false">IF($A357="","",IFERROR(IF(INDEX(tblKasa[Tarih],ROW($A357)-ROW(tblKasa[[#Headers],[Tarih]])+1)=0,RaporTarihi,INDEX(tblKasa[Tarih],ROW($A357)-ROW(tblKasa[[#Headers],[Tarih]])+1))-$A357,RaporTarihi-$A357))</f>
        <v/>
      </c>
      <c r="E357" s="18" t="n">
        <f aca="false">IF($C357="",0,ROUND($C357*$D357,0))</f>
        <v>0</v>
      </c>
      <c r="F357" s="22"/>
    </row>
    <row r="358" customFormat="false" ht="15" hidden="false" customHeight="false" outlineLevel="0" collapsed="false">
      <c r="A358" s="21"/>
      <c r="B358" s="22"/>
      <c r="C358" s="23"/>
      <c r="D358" s="19" t="str">
        <f aca="false">IF($A358="","",IFERROR(IF(INDEX(tblKasa[Tarih],ROW($A358)-ROW(tblKasa[[#Headers],[Tarih]])+1)=0,RaporTarihi,INDEX(tblKasa[Tarih],ROW($A358)-ROW(tblKasa[[#Headers],[Tarih]])+1))-$A358,RaporTarihi-$A358))</f>
        <v/>
      </c>
      <c r="E358" s="18" t="n">
        <f aca="false">IF($C358="",0,ROUND($C358*$D358,0))</f>
        <v>0</v>
      </c>
      <c r="F358" s="22"/>
    </row>
    <row r="359" customFormat="false" ht="15" hidden="false" customHeight="false" outlineLevel="0" collapsed="false">
      <c r="A359" s="21"/>
      <c r="B359" s="22"/>
      <c r="C359" s="23"/>
      <c r="D359" s="19" t="str">
        <f aca="false">IF($A359="","",IFERROR(IF(INDEX(tblKasa[Tarih],ROW($A359)-ROW(tblKasa[[#Headers],[Tarih]])+1)=0,RaporTarihi,INDEX(tblKasa[Tarih],ROW($A359)-ROW(tblKasa[[#Headers],[Tarih]])+1))-$A359,RaporTarihi-$A359))</f>
        <v/>
      </c>
      <c r="E359" s="18" t="n">
        <f aca="false">IF($C359="",0,ROUND($C359*$D359,0))</f>
        <v>0</v>
      </c>
      <c r="F359" s="22"/>
    </row>
    <row r="360" customFormat="false" ht="15" hidden="false" customHeight="false" outlineLevel="0" collapsed="false">
      <c r="A360" s="21"/>
      <c r="B360" s="22"/>
      <c r="C360" s="23"/>
      <c r="D360" s="19" t="str">
        <f aca="false">IF($A360="","",IFERROR(IF(INDEX(tblKasa[Tarih],ROW($A360)-ROW(tblKasa[[#Headers],[Tarih]])+1)=0,RaporTarihi,INDEX(tblKasa[Tarih],ROW($A360)-ROW(tblKasa[[#Headers],[Tarih]])+1))-$A360,RaporTarihi-$A360))</f>
        <v/>
      </c>
      <c r="E360" s="18" t="n">
        <f aca="false">IF($C360="",0,ROUND($C360*$D360,0))</f>
        <v>0</v>
      </c>
      <c r="F360" s="22"/>
    </row>
    <row r="361" customFormat="false" ht="15" hidden="false" customHeight="false" outlineLevel="0" collapsed="false">
      <c r="A361" s="21"/>
      <c r="B361" s="22"/>
      <c r="C361" s="23"/>
      <c r="D361" s="19" t="str">
        <f aca="false">IF($A361="","",IFERROR(IF(INDEX(tblKasa[Tarih],ROW($A361)-ROW(tblKasa[[#Headers],[Tarih]])+1)=0,RaporTarihi,INDEX(tblKasa[Tarih],ROW($A361)-ROW(tblKasa[[#Headers],[Tarih]])+1))-$A361,RaporTarihi-$A361))</f>
        <v/>
      </c>
      <c r="E361" s="18" t="n">
        <f aca="false">IF($C361="",0,ROUND($C361*$D361,0))</f>
        <v>0</v>
      </c>
      <c r="F361" s="22"/>
    </row>
    <row r="362" customFormat="false" ht="15" hidden="false" customHeight="false" outlineLevel="0" collapsed="false">
      <c r="A362" s="21"/>
      <c r="B362" s="22"/>
      <c r="C362" s="23"/>
      <c r="D362" s="19" t="str">
        <f aca="false">IF($A362="","",IFERROR(IF(INDEX(tblKasa[Tarih],ROW($A362)-ROW(tblKasa[[#Headers],[Tarih]])+1)=0,RaporTarihi,INDEX(tblKasa[Tarih],ROW($A362)-ROW(tblKasa[[#Headers],[Tarih]])+1))-$A362,RaporTarihi-$A362))</f>
        <v/>
      </c>
      <c r="E362" s="18" t="n">
        <f aca="false">IF($C362="",0,ROUND($C362*$D362,0))</f>
        <v>0</v>
      </c>
      <c r="F362" s="22"/>
    </row>
    <row r="363" customFormat="false" ht="15" hidden="false" customHeight="false" outlineLevel="0" collapsed="false">
      <c r="A363" s="21"/>
      <c r="B363" s="22"/>
      <c r="C363" s="23"/>
      <c r="D363" s="19" t="str">
        <f aca="false">IF($A363="","",IFERROR(IF(INDEX(tblKasa[Tarih],ROW($A363)-ROW(tblKasa[[#Headers],[Tarih]])+1)=0,RaporTarihi,INDEX(tblKasa[Tarih],ROW($A363)-ROW(tblKasa[[#Headers],[Tarih]])+1))-$A363,RaporTarihi-$A363))</f>
        <v/>
      </c>
      <c r="E363" s="18" t="n">
        <f aca="false">IF($C363="",0,ROUND($C363*$D363,0))</f>
        <v>0</v>
      </c>
      <c r="F363" s="22"/>
    </row>
    <row r="364" customFormat="false" ht="15" hidden="false" customHeight="false" outlineLevel="0" collapsed="false">
      <c r="A364" s="21"/>
      <c r="B364" s="22"/>
      <c r="C364" s="23"/>
      <c r="D364" s="19" t="str">
        <f aca="false">IF($A364="","",IFERROR(IF(INDEX(tblKasa[Tarih],ROW($A364)-ROW(tblKasa[[#Headers],[Tarih]])+1)=0,RaporTarihi,INDEX(tblKasa[Tarih],ROW($A364)-ROW(tblKasa[[#Headers],[Tarih]])+1))-$A364,RaporTarihi-$A364))</f>
        <v/>
      </c>
      <c r="E364" s="18" t="n">
        <f aca="false">IF($C364="",0,ROUND($C364*$D364,0))</f>
        <v>0</v>
      </c>
      <c r="F364" s="22"/>
    </row>
    <row r="365" customFormat="false" ht="15" hidden="false" customHeight="false" outlineLevel="0" collapsed="false">
      <c r="A365" s="21"/>
      <c r="B365" s="22"/>
      <c r="C365" s="23"/>
      <c r="D365" s="19" t="str">
        <f aca="false">IF($A365="","",IFERROR(IF(INDEX(tblKasa[Tarih],ROW($A365)-ROW(tblKasa[[#Headers],[Tarih]])+1)=0,RaporTarihi,INDEX(tblKasa[Tarih],ROW($A365)-ROW(tblKasa[[#Headers],[Tarih]])+1))-$A365,RaporTarihi-$A365))</f>
        <v/>
      </c>
      <c r="E365" s="18" t="n">
        <f aca="false">IF($C365="",0,ROUND($C365*$D365,0))</f>
        <v>0</v>
      </c>
      <c r="F365" s="22"/>
    </row>
    <row r="366" customFormat="false" ht="15" hidden="false" customHeight="false" outlineLevel="0" collapsed="false">
      <c r="A366" s="21"/>
      <c r="B366" s="22"/>
      <c r="C366" s="23"/>
      <c r="D366" s="19" t="str">
        <f aca="false">IF($A366="","",IFERROR(IF(INDEX(tblKasa[Tarih],ROW($A366)-ROW(tblKasa[[#Headers],[Tarih]])+1)=0,RaporTarihi,INDEX(tblKasa[Tarih],ROW($A366)-ROW(tblKasa[[#Headers],[Tarih]])+1))-$A366,RaporTarihi-$A366))</f>
        <v/>
      </c>
      <c r="E366" s="18" t="n">
        <f aca="false">IF($C366="",0,ROUND($C366*$D366,0))</f>
        <v>0</v>
      </c>
      <c r="F366" s="22"/>
    </row>
    <row r="367" customFormat="false" ht="15" hidden="false" customHeight="false" outlineLevel="0" collapsed="false">
      <c r="A367" s="21"/>
      <c r="B367" s="22"/>
      <c r="C367" s="23"/>
      <c r="D367" s="19" t="str">
        <f aca="false">IF($A367="","",IFERROR(IF(INDEX(tblKasa[Tarih],ROW($A367)-ROW(tblKasa[[#Headers],[Tarih]])+1)=0,RaporTarihi,INDEX(tblKasa[Tarih],ROW($A367)-ROW(tblKasa[[#Headers],[Tarih]])+1))-$A367,RaporTarihi-$A367))</f>
        <v/>
      </c>
      <c r="E367" s="18" t="n">
        <f aca="false">IF($C367="",0,ROUND($C367*$D367,0))</f>
        <v>0</v>
      </c>
      <c r="F367" s="22"/>
    </row>
    <row r="368" customFormat="false" ht="15" hidden="false" customHeight="false" outlineLevel="0" collapsed="false">
      <c r="A368" s="21"/>
      <c r="B368" s="22"/>
      <c r="C368" s="23"/>
      <c r="D368" s="19" t="str">
        <f aca="false">IF($A368="","",IFERROR(IF(INDEX(tblKasa[Tarih],ROW($A368)-ROW(tblKasa[[#Headers],[Tarih]])+1)=0,RaporTarihi,INDEX(tblKasa[Tarih],ROW($A368)-ROW(tblKasa[[#Headers],[Tarih]])+1))-$A368,RaporTarihi-$A368))</f>
        <v/>
      </c>
      <c r="E368" s="18" t="n">
        <f aca="false">IF($C368="",0,ROUND($C368*$D368,0))</f>
        <v>0</v>
      </c>
      <c r="F368" s="22"/>
    </row>
    <row r="369" customFormat="false" ht="15" hidden="false" customHeight="false" outlineLevel="0" collapsed="false">
      <c r="A369" s="21"/>
      <c r="B369" s="22"/>
      <c r="C369" s="23"/>
      <c r="D369" s="19" t="str">
        <f aca="false">IF($A369="","",IFERROR(IF(INDEX(tblKasa[Tarih],ROW($A369)-ROW(tblKasa[[#Headers],[Tarih]])+1)=0,RaporTarihi,INDEX(tblKasa[Tarih],ROW($A369)-ROW(tblKasa[[#Headers],[Tarih]])+1))-$A369,RaporTarihi-$A369))</f>
        <v/>
      </c>
      <c r="E369" s="18" t="n">
        <f aca="false">IF($C369="",0,ROUND($C369*$D369,0))</f>
        <v>0</v>
      </c>
      <c r="F369" s="22"/>
    </row>
    <row r="370" customFormat="false" ht="15" hidden="false" customHeight="false" outlineLevel="0" collapsed="false">
      <c r="A370" s="21"/>
      <c r="B370" s="22"/>
      <c r="C370" s="23"/>
      <c r="D370" s="19" t="str">
        <f aca="false">IF($A370="","",IFERROR(IF(INDEX(tblKasa[Tarih],ROW($A370)-ROW(tblKasa[[#Headers],[Tarih]])+1)=0,RaporTarihi,INDEX(tblKasa[Tarih],ROW($A370)-ROW(tblKasa[[#Headers],[Tarih]])+1))-$A370,RaporTarihi-$A370))</f>
        <v/>
      </c>
      <c r="E370" s="18" t="n">
        <f aca="false">IF($C370="",0,ROUND($C370*$D370,0))</f>
        <v>0</v>
      </c>
      <c r="F370" s="22"/>
    </row>
    <row r="371" customFormat="false" ht="15" hidden="false" customHeight="false" outlineLevel="0" collapsed="false">
      <c r="A371" s="21"/>
      <c r="B371" s="22"/>
      <c r="C371" s="23"/>
      <c r="D371" s="19" t="str">
        <f aca="false">IF($A371="","",IFERROR(IF(INDEX(tblKasa[Tarih],ROW($A371)-ROW(tblKasa[[#Headers],[Tarih]])+1)=0,RaporTarihi,INDEX(tblKasa[Tarih],ROW($A371)-ROW(tblKasa[[#Headers],[Tarih]])+1))-$A371,RaporTarihi-$A371))</f>
        <v/>
      </c>
      <c r="E371" s="18" t="n">
        <f aca="false">IF($C371="",0,ROUND($C371*$D371,0))</f>
        <v>0</v>
      </c>
      <c r="F371" s="22"/>
    </row>
    <row r="372" customFormat="false" ht="15" hidden="false" customHeight="false" outlineLevel="0" collapsed="false">
      <c r="A372" s="21"/>
      <c r="B372" s="22"/>
      <c r="C372" s="23"/>
      <c r="D372" s="19" t="str">
        <f aca="false">IF($A372="","",IFERROR(IF(INDEX(tblKasa[Tarih],ROW($A372)-ROW(tblKasa[[#Headers],[Tarih]])+1)=0,RaporTarihi,INDEX(tblKasa[Tarih],ROW($A372)-ROW(tblKasa[[#Headers],[Tarih]])+1))-$A372,RaporTarihi-$A372))</f>
        <v/>
      </c>
      <c r="E372" s="18" t="n">
        <f aca="false">IF($C372="",0,ROUND($C372*$D372,0))</f>
        <v>0</v>
      </c>
      <c r="F372" s="22"/>
    </row>
    <row r="373" customFormat="false" ht="15" hidden="false" customHeight="false" outlineLevel="0" collapsed="false">
      <c r="A373" s="21"/>
      <c r="B373" s="22"/>
      <c r="C373" s="23"/>
      <c r="D373" s="19" t="str">
        <f aca="false">IF($A373="","",IFERROR(IF(INDEX(tblKasa[Tarih],ROW($A373)-ROW(tblKasa[[#Headers],[Tarih]])+1)=0,RaporTarihi,INDEX(tblKasa[Tarih],ROW($A373)-ROW(tblKasa[[#Headers],[Tarih]])+1))-$A373,RaporTarihi-$A373))</f>
        <v/>
      </c>
      <c r="E373" s="18" t="n">
        <f aca="false">IF($C373="",0,ROUND($C373*$D373,0))</f>
        <v>0</v>
      </c>
      <c r="F373" s="22"/>
    </row>
    <row r="374" customFormat="false" ht="15" hidden="false" customHeight="false" outlineLevel="0" collapsed="false">
      <c r="A374" s="21"/>
      <c r="B374" s="22"/>
      <c r="C374" s="23"/>
      <c r="D374" s="19" t="str">
        <f aca="false">IF($A374="","",IFERROR(IF(INDEX(tblKasa[Tarih],ROW($A374)-ROW(tblKasa[[#Headers],[Tarih]])+1)=0,RaporTarihi,INDEX(tblKasa[Tarih],ROW($A374)-ROW(tblKasa[[#Headers],[Tarih]])+1))-$A374,RaporTarihi-$A374))</f>
        <v/>
      </c>
      <c r="E374" s="18" t="n">
        <f aca="false">IF($C374="",0,ROUND($C374*$D374,0))</f>
        <v>0</v>
      </c>
      <c r="F374" s="22"/>
    </row>
    <row r="375" customFormat="false" ht="15" hidden="false" customHeight="false" outlineLevel="0" collapsed="false">
      <c r="A375" s="21"/>
      <c r="B375" s="22"/>
      <c r="C375" s="23"/>
      <c r="D375" s="19" t="str">
        <f aca="false">IF($A375="","",IFERROR(IF(INDEX(tblKasa[Tarih],ROW($A375)-ROW(tblKasa[[#Headers],[Tarih]])+1)=0,RaporTarihi,INDEX(tblKasa[Tarih],ROW($A375)-ROW(tblKasa[[#Headers],[Tarih]])+1))-$A375,RaporTarihi-$A375))</f>
        <v/>
      </c>
      <c r="E375" s="18" t="n">
        <f aca="false">IF($C375="",0,ROUND($C375*$D375,0))</f>
        <v>0</v>
      </c>
      <c r="F375" s="22"/>
    </row>
    <row r="376" customFormat="false" ht="15" hidden="false" customHeight="false" outlineLevel="0" collapsed="false">
      <c r="A376" s="21"/>
      <c r="B376" s="22"/>
      <c r="C376" s="23"/>
      <c r="D376" s="19" t="str">
        <f aca="false">IF($A376="","",IFERROR(IF(INDEX(tblKasa[Tarih],ROW($A376)-ROW(tblKasa[[#Headers],[Tarih]])+1)=0,RaporTarihi,INDEX(tblKasa[Tarih],ROW($A376)-ROW(tblKasa[[#Headers],[Tarih]])+1))-$A376,RaporTarihi-$A376))</f>
        <v/>
      </c>
      <c r="E376" s="18" t="n">
        <f aca="false">IF($C376="",0,ROUND($C376*$D376,0))</f>
        <v>0</v>
      </c>
      <c r="F376" s="22"/>
    </row>
    <row r="377" customFormat="false" ht="15" hidden="false" customHeight="false" outlineLevel="0" collapsed="false">
      <c r="A377" s="21"/>
      <c r="B377" s="22"/>
      <c r="C377" s="23"/>
      <c r="D377" s="19" t="str">
        <f aca="false">IF($A377="","",IFERROR(IF(INDEX(tblKasa[Tarih],ROW($A377)-ROW(tblKasa[[#Headers],[Tarih]])+1)=0,RaporTarihi,INDEX(tblKasa[Tarih],ROW($A377)-ROW(tblKasa[[#Headers],[Tarih]])+1))-$A377,RaporTarihi-$A377))</f>
        <v/>
      </c>
      <c r="E377" s="18" t="n">
        <f aca="false">IF($C377="",0,ROUND($C377*$D377,0))</f>
        <v>0</v>
      </c>
      <c r="F377" s="22"/>
    </row>
    <row r="378" customFormat="false" ht="15" hidden="false" customHeight="false" outlineLevel="0" collapsed="false">
      <c r="A378" s="21"/>
      <c r="B378" s="22"/>
      <c r="C378" s="23"/>
      <c r="D378" s="19" t="str">
        <f aca="false">IF($A378="","",IFERROR(IF(INDEX(tblKasa[Tarih],ROW($A378)-ROW(tblKasa[[#Headers],[Tarih]])+1)=0,RaporTarihi,INDEX(tblKasa[Tarih],ROW($A378)-ROW(tblKasa[[#Headers],[Tarih]])+1))-$A378,RaporTarihi-$A378))</f>
        <v/>
      </c>
      <c r="E378" s="18" t="n">
        <f aca="false">IF($C378="",0,ROUND($C378*$D378,0))</f>
        <v>0</v>
      </c>
      <c r="F378" s="22"/>
    </row>
    <row r="379" customFormat="false" ht="15" hidden="false" customHeight="false" outlineLevel="0" collapsed="false">
      <c r="A379" s="21"/>
      <c r="B379" s="22"/>
      <c r="C379" s="23"/>
      <c r="D379" s="19" t="str">
        <f aca="false">IF($A379="","",IFERROR(IF(INDEX(tblKasa[Tarih],ROW($A379)-ROW(tblKasa[[#Headers],[Tarih]])+1)=0,RaporTarihi,INDEX(tblKasa[Tarih],ROW($A379)-ROW(tblKasa[[#Headers],[Tarih]])+1))-$A379,RaporTarihi-$A379))</f>
        <v/>
      </c>
      <c r="E379" s="18" t="n">
        <f aca="false">IF($C379="",0,ROUND($C379*$D379,0))</f>
        <v>0</v>
      </c>
      <c r="F379" s="22"/>
    </row>
    <row r="380" customFormat="false" ht="15" hidden="false" customHeight="false" outlineLevel="0" collapsed="false">
      <c r="A380" s="21"/>
      <c r="B380" s="22"/>
      <c r="C380" s="23"/>
      <c r="D380" s="19" t="str">
        <f aca="false">IF($A380="","",IFERROR(IF(INDEX(tblKasa[Tarih],ROW($A380)-ROW(tblKasa[[#Headers],[Tarih]])+1)=0,RaporTarihi,INDEX(tblKasa[Tarih],ROW($A380)-ROW(tblKasa[[#Headers],[Tarih]])+1))-$A380,RaporTarihi-$A380))</f>
        <v/>
      </c>
      <c r="E380" s="18" t="n">
        <f aca="false">IF($C380="",0,ROUND($C380*$D380,0))</f>
        <v>0</v>
      </c>
      <c r="F380" s="22"/>
    </row>
    <row r="381" customFormat="false" ht="15" hidden="false" customHeight="false" outlineLevel="0" collapsed="false">
      <c r="A381" s="21"/>
      <c r="B381" s="22"/>
      <c r="C381" s="23"/>
      <c r="D381" s="19" t="str">
        <f aca="false">IF($A381="","",IFERROR(IF(INDEX(tblKasa[Tarih],ROW($A381)-ROW(tblKasa[[#Headers],[Tarih]])+1)=0,RaporTarihi,INDEX(tblKasa[Tarih],ROW($A381)-ROW(tblKasa[[#Headers],[Tarih]])+1))-$A381,RaporTarihi-$A381))</f>
        <v/>
      </c>
      <c r="E381" s="18" t="n">
        <f aca="false">IF($C381="",0,ROUND($C381*$D381,0))</f>
        <v>0</v>
      </c>
      <c r="F381" s="22"/>
    </row>
    <row r="382" customFormat="false" ht="15" hidden="false" customHeight="false" outlineLevel="0" collapsed="false">
      <c r="A382" s="21"/>
      <c r="B382" s="22"/>
      <c r="C382" s="23"/>
      <c r="D382" s="19" t="str">
        <f aca="false">IF($A382="","",IFERROR(IF(INDEX(tblKasa[Tarih],ROW($A382)-ROW(tblKasa[[#Headers],[Tarih]])+1)=0,RaporTarihi,INDEX(tblKasa[Tarih],ROW($A382)-ROW(tblKasa[[#Headers],[Tarih]])+1))-$A382,RaporTarihi-$A382))</f>
        <v/>
      </c>
      <c r="E382" s="18" t="n">
        <f aca="false">IF($C382="",0,ROUND($C382*$D382,0))</f>
        <v>0</v>
      </c>
      <c r="F382" s="22"/>
    </row>
    <row r="383" customFormat="false" ht="15" hidden="false" customHeight="false" outlineLevel="0" collapsed="false">
      <c r="A383" s="21"/>
      <c r="B383" s="22"/>
      <c r="C383" s="23"/>
      <c r="D383" s="19" t="str">
        <f aca="false">IF($A383="","",IFERROR(IF(INDEX(tblKasa[Tarih],ROW($A383)-ROW(tblKasa[[#Headers],[Tarih]])+1)=0,RaporTarihi,INDEX(tblKasa[Tarih],ROW($A383)-ROW(tblKasa[[#Headers],[Tarih]])+1))-$A383,RaporTarihi-$A383))</f>
        <v/>
      </c>
      <c r="E383" s="18" t="n">
        <f aca="false">IF($C383="",0,ROUND($C383*$D383,0))</f>
        <v>0</v>
      </c>
      <c r="F383" s="22"/>
    </row>
    <row r="384" customFormat="false" ht="15" hidden="false" customHeight="false" outlineLevel="0" collapsed="false">
      <c r="A384" s="21"/>
      <c r="B384" s="22"/>
      <c r="C384" s="23"/>
      <c r="D384" s="19" t="str">
        <f aca="false">IF($A384="","",IFERROR(IF(INDEX(tblKasa[Tarih],ROW($A384)-ROW(tblKasa[[#Headers],[Tarih]])+1)=0,RaporTarihi,INDEX(tblKasa[Tarih],ROW($A384)-ROW(tblKasa[[#Headers],[Tarih]])+1))-$A384,RaporTarihi-$A384))</f>
        <v/>
      </c>
      <c r="E384" s="18" t="n">
        <f aca="false">IF($C384="",0,ROUND($C384*$D384,0))</f>
        <v>0</v>
      </c>
      <c r="F384" s="22"/>
    </row>
    <row r="385" customFormat="false" ht="15" hidden="false" customHeight="false" outlineLevel="0" collapsed="false">
      <c r="A385" s="21"/>
      <c r="B385" s="22"/>
      <c r="C385" s="23"/>
      <c r="D385" s="19" t="str">
        <f aca="false">IF($A385="","",IFERROR(IF(INDEX(tblKasa[Tarih],ROW($A385)-ROW(tblKasa[[#Headers],[Tarih]])+1)=0,RaporTarihi,INDEX(tblKasa[Tarih],ROW($A385)-ROW(tblKasa[[#Headers],[Tarih]])+1))-$A385,RaporTarihi-$A385))</f>
        <v/>
      </c>
      <c r="E385" s="18" t="n">
        <f aca="false">IF($C385="",0,ROUND($C385*$D385,0))</f>
        <v>0</v>
      </c>
      <c r="F385" s="22"/>
    </row>
    <row r="386" customFormat="false" ht="15" hidden="false" customHeight="false" outlineLevel="0" collapsed="false">
      <c r="A386" s="21"/>
      <c r="B386" s="22"/>
      <c r="C386" s="23"/>
      <c r="D386" s="19" t="str">
        <f aca="false">IF($A386="","",IFERROR(IF(INDEX(tblKasa[Tarih],ROW($A386)-ROW(tblKasa[[#Headers],[Tarih]])+1)=0,RaporTarihi,INDEX(tblKasa[Tarih],ROW($A386)-ROW(tblKasa[[#Headers],[Tarih]])+1))-$A386,RaporTarihi-$A386))</f>
        <v/>
      </c>
      <c r="E386" s="18" t="n">
        <f aca="false">IF($C386="",0,ROUND($C386*$D386,0))</f>
        <v>0</v>
      </c>
      <c r="F386" s="22"/>
    </row>
    <row r="387" customFormat="false" ht="15" hidden="false" customHeight="false" outlineLevel="0" collapsed="false">
      <c r="A387" s="21"/>
      <c r="B387" s="22"/>
      <c r="C387" s="23"/>
      <c r="D387" s="19" t="str">
        <f aca="false">IF($A387="","",IFERROR(IF(INDEX(tblKasa[Tarih],ROW($A387)-ROW(tblKasa[[#Headers],[Tarih]])+1)=0,RaporTarihi,INDEX(tblKasa[Tarih],ROW($A387)-ROW(tblKasa[[#Headers],[Tarih]])+1))-$A387,RaporTarihi-$A387))</f>
        <v/>
      </c>
      <c r="E387" s="18" t="n">
        <f aca="false">IF($C387="",0,ROUND($C387*$D387,0))</f>
        <v>0</v>
      </c>
      <c r="F387" s="22"/>
    </row>
    <row r="388" customFormat="false" ht="15" hidden="false" customHeight="false" outlineLevel="0" collapsed="false">
      <c r="A388" s="21"/>
      <c r="B388" s="22"/>
      <c r="C388" s="23"/>
      <c r="D388" s="19" t="str">
        <f aca="false">IF($A388="","",IFERROR(IF(INDEX(tblKasa[Tarih],ROW($A388)-ROW(tblKasa[[#Headers],[Tarih]])+1)=0,RaporTarihi,INDEX(tblKasa[Tarih],ROW($A388)-ROW(tblKasa[[#Headers],[Tarih]])+1))-$A388,RaporTarihi-$A388))</f>
        <v/>
      </c>
      <c r="E388" s="18" t="n">
        <f aca="false">IF($C388="",0,ROUND($C388*$D388,0))</f>
        <v>0</v>
      </c>
      <c r="F388" s="22"/>
    </row>
    <row r="389" customFormat="false" ht="15" hidden="false" customHeight="false" outlineLevel="0" collapsed="false">
      <c r="A389" s="21"/>
      <c r="B389" s="22"/>
      <c r="C389" s="23"/>
      <c r="D389" s="19" t="str">
        <f aca="false">IF($A389="","",IFERROR(IF(INDEX(tblKasa[Tarih],ROW($A389)-ROW(tblKasa[[#Headers],[Tarih]])+1)=0,RaporTarihi,INDEX(tblKasa[Tarih],ROW($A389)-ROW(tblKasa[[#Headers],[Tarih]])+1))-$A389,RaporTarihi-$A389))</f>
        <v/>
      </c>
      <c r="E389" s="18" t="n">
        <f aca="false">IF($C389="",0,ROUND($C389*$D389,0))</f>
        <v>0</v>
      </c>
      <c r="F389" s="22"/>
    </row>
    <row r="390" customFormat="false" ht="15" hidden="false" customHeight="false" outlineLevel="0" collapsed="false">
      <c r="A390" s="21"/>
      <c r="B390" s="22"/>
      <c r="C390" s="23"/>
      <c r="D390" s="19" t="str">
        <f aca="false">IF($A390="","",IFERROR(IF(INDEX(tblKasa[Tarih],ROW($A390)-ROW(tblKasa[[#Headers],[Tarih]])+1)=0,RaporTarihi,INDEX(tblKasa[Tarih],ROW($A390)-ROW(tblKasa[[#Headers],[Tarih]])+1))-$A390,RaporTarihi-$A390))</f>
        <v/>
      </c>
      <c r="E390" s="18" t="n">
        <f aca="false">IF($C390="",0,ROUND($C390*$D390,0))</f>
        <v>0</v>
      </c>
      <c r="F390" s="22"/>
    </row>
    <row r="391" customFormat="false" ht="15" hidden="false" customHeight="false" outlineLevel="0" collapsed="false">
      <c r="A391" s="21"/>
      <c r="B391" s="22"/>
      <c r="C391" s="23"/>
      <c r="D391" s="19" t="str">
        <f aca="false">IF($A391="","",IFERROR(IF(INDEX(tblKasa[Tarih],ROW($A391)-ROW(tblKasa[[#Headers],[Tarih]])+1)=0,RaporTarihi,INDEX(tblKasa[Tarih],ROW($A391)-ROW(tblKasa[[#Headers],[Tarih]])+1))-$A391,RaporTarihi-$A391))</f>
        <v/>
      </c>
      <c r="E391" s="18" t="n">
        <f aca="false">IF($C391="",0,ROUND($C391*$D391,0))</f>
        <v>0</v>
      </c>
      <c r="F391" s="22"/>
    </row>
    <row r="392" customFormat="false" ht="15" hidden="false" customHeight="false" outlineLevel="0" collapsed="false">
      <c r="A392" s="21"/>
      <c r="B392" s="22"/>
      <c r="C392" s="23"/>
      <c r="D392" s="19" t="str">
        <f aca="false">IF($A392="","",IFERROR(IF(INDEX(tblKasa[Tarih],ROW($A392)-ROW(tblKasa[[#Headers],[Tarih]])+1)=0,RaporTarihi,INDEX(tblKasa[Tarih],ROW($A392)-ROW(tblKasa[[#Headers],[Tarih]])+1))-$A392,RaporTarihi-$A392))</f>
        <v/>
      </c>
      <c r="E392" s="18" t="n">
        <f aca="false">IF($C392="",0,ROUND($C392*$D392,0))</f>
        <v>0</v>
      </c>
      <c r="F392" s="22"/>
    </row>
    <row r="393" customFormat="false" ht="15" hidden="false" customHeight="false" outlineLevel="0" collapsed="false">
      <c r="A393" s="21"/>
      <c r="B393" s="22"/>
      <c r="C393" s="23"/>
      <c r="D393" s="19" t="str">
        <f aca="false">IF($A393="","",IFERROR(IF(INDEX(tblKasa[Tarih],ROW($A393)-ROW(tblKasa[[#Headers],[Tarih]])+1)=0,RaporTarihi,INDEX(tblKasa[Tarih],ROW($A393)-ROW(tblKasa[[#Headers],[Tarih]])+1))-$A393,RaporTarihi-$A393))</f>
        <v/>
      </c>
      <c r="E393" s="18" t="n">
        <f aca="false">IF($C393="",0,ROUND($C393*$D393,0))</f>
        <v>0</v>
      </c>
      <c r="F393" s="22"/>
    </row>
    <row r="394" customFormat="false" ht="15" hidden="false" customHeight="false" outlineLevel="0" collapsed="false">
      <c r="A394" s="21"/>
      <c r="B394" s="22"/>
      <c r="C394" s="23"/>
      <c r="D394" s="19" t="str">
        <f aca="false">IF($A394="","",IFERROR(IF(INDEX(tblKasa[Tarih],ROW($A394)-ROW(tblKasa[[#Headers],[Tarih]])+1)=0,RaporTarihi,INDEX(tblKasa[Tarih],ROW($A394)-ROW(tblKasa[[#Headers],[Tarih]])+1))-$A394,RaporTarihi-$A394))</f>
        <v/>
      </c>
      <c r="E394" s="18" t="n">
        <f aca="false">IF($C394="",0,ROUND($C394*$D394,0))</f>
        <v>0</v>
      </c>
      <c r="F394" s="22"/>
    </row>
    <row r="395" customFormat="false" ht="15" hidden="false" customHeight="false" outlineLevel="0" collapsed="false">
      <c r="A395" s="21"/>
      <c r="B395" s="22"/>
      <c r="C395" s="23"/>
      <c r="D395" s="19" t="str">
        <f aca="false">IF($A395="","",IFERROR(IF(INDEX(tblKasa[Tarih],ROW($A395)-ROW(tblKasa[[#Headers],[Tarih]])+1)=0,RaporTarihi,INDEX(tblKasa[Tarih],ROW($A395)-ROW(tblKasa[[#Headers],[Tarih]])+1))-$A395,RaporTarihi-$A395))</f>
        <v/>
      </c>
      <c r="E395" s="18" t="n">
        <f aca="false">IF($C395="",0,ROUND($C395*$D395,0))</f>
        <v>0</v>
      </c>
      <c r="F395" s="22"/>
    </row>
    <row r="396" customFormat="false" ht="15" hidden="false" customHeight="false" outlineLevel="0" collapsed="false">
      <c r="A396" s="21"/>
      <c r="B396" s="22"/>
      <c r="C396" s="23"/>
      <c r="D396" s="19" t="str">
        <f aca="false">IF($A396="","",IFERROR(IF(INDEX(tblKasa[Tarih],ROW($A396)-ROW(tblKasa[[#Headers],[Tarih]])+1)=0,RaporTarihi,INDEX(tblKasa[Tarih],ROW($A396)-ROW(tblKasa[[#Headers],[Tarih]])+1))-$A396,RaporTarihi-$A396))</f>
        <v/>
      </c>
      <c r="E396" s="18" t="n">
        <f aca="false">IF($C396="",0,ROUND($C396*$D396,0))</f>
        <v>0</v>
      </c>
      <c r="F396" s="22"/>
    </row>
    <row r="397" customFormat="false" ht="15" hidden="false" customHeight="false" outlineLevel="0" collapsed="false">
      <c r="A397" s="21"/>
      <c r="B397" s="22"/>
      <c r="C397" s="23"/>
      <c r="D397" s="19" t="str">
        <f aca="false">IF($A397="","",IFERROR(IF(INDEX(tblKasa[Tarih],ROW($A397)-ROW(tblKasa[[#Headers],[Tarih]])+1)=0,RaporTarihi,INDEX(tblKasa[Tarih],ROW($A397)-ROW(tblKasa[[#Headers],[Tarih]])+1))-$A397,RaporTarihi-$A397))</f>
        <v/>
      </c>
      <c r="E397" s="18" t="n">
        <f aca="false">IF($C397="",0,ROUND($C397*$D397,0))</f>
        <v>0</v>
      </c>
      <c r="F397" s="22"/>
    </row>
    <row r="398" customFormat="false" ht="15" hidden="false" customHeight="false" outlineLevel="0" collapsed="false">
      <c r="A398" s="21"/>
      <c r="B398" s="22"/>
      <c r="C398" s="23"/>
      <c r="D398" s="19" t="str">
        <f aca="false">IF($A398="","",IFERROR(IF(INDEX(tblKasa[Tarih],ROW($A398)-ROW(tblKasa[[#Headers],[Tarih]])+1)=0,RaporTarihi,INDEX(tblKasa[Tarih],ROW($A398)-ROW(tblKasa[[#Headers],[Tarih]])+1))-$A398,RaporTarihi-$A398))</f>
        <v/>
      </c>
      <c r="E398" s="18" t="n">
        <f aca="false">IF($C398="",0,ROUND($C398*$D398,0))</f>
        <v>0</v>
      </c>
      <c r="F398" s="22"/>
    </row>
    <row r="399" customFormat="false" ht="15" hidden="false" customHeight="false" outlineLevel="0" collapsed="false">
      <c r="A399" s="21"/>
      <c r="B399" s="22"/>
      <c r="C399" s="23"/>
      <c r="D399" s="19" t="str">
        <f aca="false">IF($A399="","",IFERROR(IF(INDEX(tblKasa[Tarih],ROW($A399)-ROW(tblKasa[[#Headers],[Tarih]])+1)=0,RaporTarihi,INDEX(tblKasa[Tarih],ROW($A399)-ROW(tblKasa[[#Headers],[Tarih]])+1))-$A399,RaporTarihi-$A399))</f>
        <v/>
      </c>
      <c r="E399" s="18" t="n">
        <f aca="false">IF($C399="",0,ROUND($C399*$D399,0))</f>
        <v>0</v>
      </c>
      <c r="F399" s="22"/>
    </row>
    <row r="400" customFormat="false" ht="15" hidden="false" customHeight="false" outlineLevel="0" collapsed="false">
      <c r="A400" s="21"/>
      <c r="B400" s="22"/>
      <c r="C400" s="23"/>
      <c r="D400" s="19" t="str">
        <f aca="false">IF($A400="","",IFERROR(IF(INDEX(tblKasa[Tarih],ROW($A400)-ROW(tblKasa[[#Headers],[Tarih]])+1)=0,RaporTarihi,INDEX(tblKasa[Tarih],ROW($A400)-ROW(tblKasa[[#Headers],[Tarih]])+1))-$A400,RaporTarihi-$A400))</f>
        <v/>
      </c>
      <c r="E400" s="18" t="n">
        <f aca="false">IF($C400="",0,ROUND($C400*$D400,0))</f>
        <v>0</v>
      </c>
      <c r="F400" s="22"/>
    </row>
    <row r="401" customFormat="false" ht="15" hidden="false" customHeight="false" outlineLevel="0" collapsed="false">
      <c r="A401" s="21"/>
      <c r="B401" s="22"/>
      <c r="C401" s="23"/>
      <c r="D401" s="19" t="str">
        <f aca="false">IF($A401="","",IFERROR(IF(INDEX(tblKasa[Tarih],ROW($A401)-ROW(tblKasa[[#Headers],[Tarih]])+1)=0,RaporTarihi,INDEX(tblKasa[Tarih],ROW($A401)-ROW(tblKasa[[#Headers],[Tarih]])+1))-$A401,RaporTarihi-$A401))</f>
        <v/>
      </c>
      <c r="E401" s="18" t="n">
        <f aca="false">IF($C401="",0,ROUND($C401*$D401,0))</f>
        <v>0</v>
      </c>
      <c r="F401" s="22"/>
    </row>
    <row r="402" customFormat="false" ht="15" hidden="false" customHeight="false" outlineLevel="0" collapsed="false">
      <c r="A402" s="21"/>
      <c r="B402" s="22"/>
      <c r="C402" s="23"/>
      <c r="D402" s="19" t="str">
        <f aca="false">IF($A402="","",IFERROR(IF(INDEX(tblKasa[Tarih],ROW($A402)-ROW(tblKasa[[#Headers],[Tarih]])+1)=0,RaporTarihi,INDEX(tblKasa[Tarih],ROW($A402)-ROW(tblKasa[[#Headers],[Tarih]])+1))-$A402,RaporTarihi-$A402))</f>
        <v/>
      </c>
      <c r="E402" s="18" t="n">
        <f aca="false">IF($C402="",0,ROUND($C402*$D402,0))</f>
        <v>0</v>
      </c>
      <c r="F402" s="22"/>
    </row>
    <row r="403" customFormat="false" ht="15" hidden="false" customHeight="false" outlineLevel="0" collapsed="false">
      <c r="A403" s="21"/>
      <c r="B403" s="22"/>
      <c r="C403" s="23"/>
      <c r="D403" s="19" t="str">
        <f aca="false">IF($A403="","",IFERROR(IF(INDEX(tblKasa[Tarih],ROW($A403)-ROW(tblKasa[[#Headers],[Tarih]])+1)=0,RaporTarihi,INDEX(tblKasa[Tarih],ROW($A403)-ROW(tblKasa[[#Headers],[Tarih]])+1))-$A403,RaporTarihi-$A403))</f>
        <v/>
      </c>
      <c r="E403" s="18" t="n">
        <f aca="false">IF($C403="",0,ROUND($C403*$D403,0))</f>
        <v>0</v>
      </c>
      <c r="F403" s="22"/>
    </row>
    <row r="404" customFormat="false" ht="15" hidden="false" customHeight="false" outlineLevel="0" collapsed="false">
      <c r="A404" s="21"/>
      <c r="B404" s="22"/>
      <c r="C404" s="23"/>
      <c r="D404" s="19" t="str">
        <f aca="false">IF($A404="","",IFERROR(IF(INDEX(tblKasa[Tarih],ROW($A404)-ROW(tblKasa[[#Headers],[Tarih]])+1)=0,RaporTarihi,INDEX(tblKasa[Tarih],ROW($A404)-ROW(tblKasa[[#Headers],[Tarih]])+1))-$A404,RaporTarihi-$A404))</f>
        <v/>
      </c>
      <c r="E404" s="18" t="n">
        <f aca="false">IF($C404="",0,ROUND($C404*$D404,0))</f>
        <v>0</v>
      </c>
      <c r="F404" s="22"/>
    </row>
    <row r="405" customFormat="false" ht="15" hidden="false" customHeight="false" outlineLevel="0" collapsed="false">
      <c r="A405" s="21"/>
      <c r="B405" s="22"/>
      <c r="C405" s="23"/>
      <c r="D405" s="19" t="str">
        <f aca="false">IF($A405="","",IFERROR(IF(INDEX(tblKasa[Tarih],ROW($A405)-ROW(tblKasa[[#Headers],[Tarih]])+1)=0,RaporTarihi,INDEX(tblKasa[Tarih],ROW($A405)-ROW(tblKasa[[#Headers],[Tarih]])+1))-$A405,RaporTarihi-$A405))</f>
        <v/>
      </c>
      <c r="E405" s="18" t="n">
        <f aca="false">IF($C405="",0,ROUND($C405*$D405,0))</f>
        <v>0</v>
      </c>
      <c r="F405" s="22"/>
    </row>
    <row r="406" customFormat="false" ht="15" hidden="false" customHeight="false" outlineLevel="0" collapsed="false">
      <c r="A406" s="21"/>
      <c r="B406" s="22"/>
      <c r="C406" s="23"/>
      <c r="D406" s="19" t="str">
        <f aca="false">IF($A406="","",IFERROR(IF(INDEX(tblKasa[Tarih],ROW($A406)-ROW(tblKasa[[#Headers],[Tarih]])+1)=0,RaporTarihi,INDEX(tblKasa[Tarih],ROW($A406)-ROW(tblKasa[[#Headers],[Tarih]])+1))-$A406,RaporTarihi-$A406))</f>
        <v/>
      </c>
      <c r="E406" s="18" t="n">
        <f aca="false">IF($C406="",0,ROUND($C406*$D406,0))</f>
        <v>0</v>
      </c>
      <c r="F406" s="22"/>
    </row>
    <row r="407" customFormat="false" ht="15" hidden="false" customHeight="false" outlineLevel="0" collapsed="false">
      <c r="A407" s="21"/>
      <c r="B407" s="22"/>
      <c r="C407" s="23"/>
      <c r="D407" s="19" t="str">
        <f aca="false">IF($A407="","",IFERROR(IF(INDEX(tblKasa[Tarih],ROW($A407)-ROW(tblKasa[[#Headers],[Tarih]])+1)=0,RaporTarihi,INDEX(tblKasa[Tarih],ROW($A407)-ROW(tblKasa[[#Headers],[Tarih]])+1))-$A407,RaporTarihi-$A407))</f>
        <v/>
      </c>
      <c r="E407" s="18" t="n">
        <f aca="false">IF($C407="",0,ROUND($C407*$D407,0))</f>
        <v>0</v>
      </c>
      <c r="F407" s="22"/>
    </row>
    <row r="408" customFormat="false" ht="15" hidden="false" customHeight="false" outlineLevel="0" collapsed="false">
      <c r="A408" s="21"/>
      <c r="B408" s="22"/>
      <c r="C408" s="23"/>
      <c r="D408" s="19" t="str">
        <f aca="false">IF($A408="","",IFERROR(IF(INDEX(tblKasa[Tarih],ROW($A408)-ROW(tblKasa[[#Headers],[Tarih]])+1)=0,RaporTarihi,INDEX(tblKasa[Tarih],ROW($A408)-ROW(tblKasa[[#Headers],[Tarih]])+1))-$A408,RaporTarihi-$A408))</f>
        <v/>
      </c>
      <c r="E408" s="18" t="n">
        <f aca="false">IF($C408="",0,ROUND($C408*$D408,0))</f>
        <v>0</v>
      </c>
      <c r="F408" s="22"/>
    </row>
    <row r="409" customFormat="false" ht="15" hidden="false" customHeight="false" outlineLevel="0" collapsed="false">
      <c r="A409" s="21"/>
      <c r="B409" s="22"/>
      <c r="C409" s="23"/>
      <c r="D409" s="19" t="str">
        <f aca="false">IF($A409="","",IFERROR(IF(INDEX(tblKasa[Tarih],ROW($A409)-ROW(tblKasa[[#Headers],[Tarih]])+1)=0,RaporTarihi,INDEX(tblKasa[Tarih],ROW($A409)-ROW(tblKasa[[#Headers],[Tarih]])+1))-$A409,RaporTarihi-$A409))</f>
        <v/>
      </c>
      <c r="E409" s="18" t="n">
        <f aca="false">IF($C409="",0,ROUND($C409*$D409,0))</f>
        <v>0</v>
      </c>
      <c r="F409" s="22"/>
    </row>
    <row r="410" customFormat="false" ht="15" hidden="false" customHeight="false" outlineLevel="0" collapsed="false">
      <c r="A410" s="21"/>
      <c r="B410" s="22"/>
      <c r="C410" s="23"/>
      <c r="D410" s="19" t="str">
        <f aca="false">IF($A410="","",IFERROR(IF(INDEX(tblKasa[Tarih],ROW($A410)-ROW(tblKasa[[#Headers],[Tarih]])+1)=0,RaporTarihi,INDEX(tblKasa[Tarih],ROW($A410)-ROW(tblKasa[[#Headers],[Tarih]])+1))-$A410,RaporTarihi-$A410))</f>
        <v/>
      </c>
      <c r="E410" s="18" t="n">
        <f aca="false">IF($C410="",0,ROUND($C410*$D410,0))</f>
        <v>0</v>
      </c>
      <c r="F410" s="22"/>
    </row>
    <row r="411" customFormat="false" ht="15" hidden="false" customHeight="false" outlineLevel="0" collapsed="false">
      <c r="A411" s="21"/>
      <c r="B411" s="22"/>
      <c r="C411" s="23"/>
      <c r="D411" s="19" t="str">
        <f aca="false">IF($A411="","",IFERROR(IF(INDEX(tblKasa[Tarih],ROW($A411)-ROW(tblKasa[[#Headers],[Tarih]])+1)=0,RaporTarihi,INDEX(tblKasa[Tarih],ROW($A411)-ROW(tblKasa[[#Headers],[Tarih]])+1))-$A411,RaporTarihi-$A411))</f>
        <v/>
      </c>
      <c r="E411" s="18" t="n">
        <f aca="false">IF($C411="",0,ROUND($C411*$D411,0))</f>
        <v>0</v>
      </c>
      <c r="F411" s="22"/>
    </row>
    <row r="412" customFormat="false" ht="15" hidden="false" customHeight="false" outlineLevel="0" collapsed="false">
      <c r="A412" s="21"/>
      <c r="B412" s="22"/>
      <c r="C412" s="23"/>
      <c r="D412" s="19" t="str">
        <f aca="false">IF($A412="","",IFERROR(IF(INDEX(tblKasa[Tarih],ROW($A412)-ROW(tblKasa[[#Headers],[Tarih]])+1)=0,RaporTarihi,INDEX(tblKasa[Tarih],ROW($A412)-ROW(tblKasa[[#Headers],[Tarih]])+1))-$A412,RaporTarihi-$A412))</f>
        <v/>
      </c>
      <c r="E412" s="18" t="n">
        <f aca="false">IF($C412="",0,ROUND($C412*$D412,0))</f>
        <v>0</v>
      </c>
      <c r="F412" s="22"/>
    </row>
    <row r="413" customFormat="false" ht="15" hidden="false" customHeight="false" outlineLevel="0" collapsed="false">
      <c r="A413" s="21"/>
      <c r="B413" s="22"/>
      <c r="C413" s="23"/>
      <c r="D413" s="19" t="str">
        <f aca="false">IF($A413="","",IFERROR(IF(INDEX(tblKasa[Tarih],ROW($A413)-ROW(tblKasa[[#Headers],[Tarih]])+1)=0,RaporTarihi,INDEX(tblKasa[Tarih],ROW($A413)-ROW(tblKasa[[#Headers],[Tarih]])+1))-$A413,RaporTarihi-$A413))</f>
        <v/>
      </c>
      <c r="E413" s="18" t="n">
        <f aca="false">IF($C413="",0,ROUND($C413*$D413,0))</f>
        <v>0</v>
      </c>
      <c r="F413" s="22"/>
    </row>
    <row r="414" customFormat="false" ht="15" hidden="false" customHeight="false" outlineLevel="0" collapsed="false">
      <c r="A414" s="21"/>
      <c r="B414" s="22"/>
      <c r="C414" s="23"/>
      <c r="D414" s="19" t="str">
        <f aca="false">IF($A414="","",IFERROR(IF(INDEX(tblKasa[Tarih],ROW($A414)-ROW(tblKasa[[#Headers],[Tarih]])+1)=0,RaporTarihi,INDEX(tblKasa[Tarih],ROW($A414)-ROW(tblKasa[[#Headers],[Tarih]])+1))-$A414,RaporTarihi-$A414))</f>
        <v/>
      </c>
      <c r="E414" s="18" t="n">
        <f aca="false">IF($C414="",0,ROUND($C414*$D414,0))</f>
        <v>0</v>
      </c>
      <c r="F414" s="22"/>
    </row>
    <row r="415" customFormat="false" ht="15" hidden="false" customHeight="false" outlineLevel="0" collapsed="false">
      <c r="A415" s="21"/>
      <c r="B415" s="22"/>
      <c r="C415" s="23"/>
      <c r="D415" s="19" t="str">
        <f aca="false">IF($A415="","",IFERROR(IF(INDEX(tblKasa[Tarih],ROW($A415)-ROW(tblKasa[[#Headers],[Tarih]])+1)=0,RaporTarihi,INDEX(tblKasa[Tarih],ROW($A415)-ROW(tblKasa[[#Headers],[Tarih]])+1))-$A415,RaporTarihi-$A415))</f>
        <v/>
      </c>
      <c r="E415" s="18" t="n">
        <f aca="false">IF($C415="",0,ROUND($C415*$D415,0))</f>
        <v>0</v>
      </c>
      <c r="F415" s="22"/>
    </row>
    <row r="416" customFormat="false" ht="15" hidden="false" customHeight="false" outlineLevel="0" collapsed="false">
      <c r="A416" s="21"/>
      <c r="B416" s="22"/>
      <c r="C416" s="23"/>
      <c r="D416" s="19" t="str">
        <f aca="false">IF($A416="","",IFERROR(IF(INDEX(tblKasa[Tarih],ROW($A416)-ROW(tblKasa[[#Headers],[Tarih]])+1)=0,RaporTarihi,INDEX(tblKasa[Tarih],ROW($A416)-ROW(tblKasa[[#Headers],[Tarih]])+1))-$A416,RaporTarihi-$A416))</f>
        <v/>
      </c>
      <c r="E416" s="18" t="n">
        <f aca="false">IF($C416="",0,ROUND($C416*$D416,0))</f>
        <v>0</v>
      </c>
      <c r="F416" s="22"/>
    </row>
    <row r="417" customFormat="false" ht="15" hidden="false" customHeight="false" outlineLevel="0" collapsed="false">
      <c r="A417" s="21"/>
      <c r="B417" s="22"/>
      <c r="C417" s="23"/>
      <c r="D417" s="19" t="str">
        <f aca="false">IF($A417="","",IFERROR(IF(INDEX(tblKasa[Tarih],ROW($A417)-ROW(tblKasa[[#Headers],[Tarih]])+1)=0,RaporTarihi,INDEX(tblKasa[Tarih],ROW($A417)-ROW(tblKasa[[#Headers],[Tarih]])+1))-$A417,RaporTarihi-$A417))</f>
        <v/>
      </c>
      <c r="E417" s="18" t="n">
        <f aca="false">IF($C417="",0,ROUND($C417*$D417,0))</f>
        <v>0</v>
      </c>
      <c r="F417" s="22"/>
    </row>
    <row r="418" customFormat="false" ht="15" hidden="false" customHeight="false" outlineLevel="0" collapsed="false">
      <c r="A418" s="21"/>
      <c r="B418" s="22"/>
      <c r="C418" s="23"/>
      <c r="D418" s="19" t="str">
        <f aca="false">IF($A418="","",IFERROR(IF(INDEX(tblKasa[Tarih],ROW($A418)-ROW(tblKasa[[#Headers],[Tarih]])+1)=0,RaporTarihi,INDEX(tblKasa[Tarih],ROW($A418)-ROW(tblKasa[[#Headers],[Tarih]])+1))-$A418,RaporTarihi-$A418))</f>
        <v/>
      </c>
      <c r="E418" s="18" t="n">
        <f aca="false">IF($C418="",0,ROUND($C418*$D418,0))</f>
        <v>0</v>
      </c>
      <c r="F418" s="22"/>
    </row>
    <row r="419" customFormat="false" ht="15" hidden="false" customHeight="false" outlineLevel="0" collapsed="false">
      <c r="A419" s="21"/>
      <c r="B419" s="22"/>
      <c r="C419" s="23"/>
      <c r="D419" s="19" t="str">
        <f aca="false">IF($A419="","",IFERROR(IF(INDEX(tblKasa[Tarih],ROW($A419)-ROW(tblKasa[[#Headers],[Tarih]])+1)=0,RaporTarihi,INDEX(tblKasa[Tarih],ROW($A419)-ROW(tblKasa[[#Headers],[Tarih]])+1))-$A419,RaporTarihi-$A419))</f>
        <v/>
      </c>
      <c r="E419" s="18" t="n">
        <f aca="false">IF($C419="",0,ROUND($C419*$D419,0))</f>
        <v>0</v>
      </c>
      <c r="F419" s="22"/>
    </row>
    <row r="420" customFormat="false" ht="15" hidden="false" customHeight="false" outlineLevel="0" collapsed="false">
      <c r="A420" s="21"/>
      <c r="B420" s="22"/>
      <c r="C420" s="23"/>
      <c r="D420" s="19" t="str">
        <f aca="false">IF($A420="","",IFERROR(IF(INDEX(tblKasa[Tarih],ROW($A420)-ROW(tblKasa[[#Headers],[Tarih]])+1)=0,RaporTarihi,INDEX(tblKasa[Tarih],ROW($A420)-ROW(tblKasa[[#Headers],[Tarih]])+1))-$A420,RaporTarihi-$A420))</f>
        <v/>
      </c>
      <c r="E420" s="18" t="n">
        <f aca="false">IF($C420="",0,ROUND($C420*$D420,0))</f>
        <v>0</v>
      </c>
      <c r="F420" s="22"/>
    </row>
    <row r="421" customFormat="false" ht="15" hidden="false" customHeight="false" outlineLevel="0" collapsed="false">
      <c r="A421" s="21"/>
      <c r="B421" s="22"/>
      <c r="C421" s="23"/>
      <c r="D421" s="19" t="str">
        <f aca="false">IF($A421="","",IFERROR(IF(INDEX(tblKasa[Tarih],ROW($A421)-ROW(tblKasa[[#Headers],[Tarih]])+1)=0,RaporTarihi,INDEX(tblKasa[Tarih],ROW($A421)-ROW(tblKasa[[#Headers],[Tarih]])+1))-$A421,RaporTarihi-$A421))</f>
        <v/>
      </c>
      <c r="E421" s="18" t="n">
        <f aca="false">IF($C421="",0,ROUND($C421*$D421,0))</f>
        <v>0</v>
      </c>
      <c r="F421" s="22"/>
    </row>
    <row r="422" customFormat="false" ht="15" hidden="false" customHeight="false" outlineLevel="0" collapsed="false">
      <c r="A422" s="21"/>
      <c r="B422" s="22"/>
      <c r="C422" s="23"/>
      <c r="D422" s="19" t="str">
        <f aca="false">IF($A422="","",IFERROR(IF(INDEX(tblKasa[Tarih],ROW($A422)-ROW(tblKasa[[#Headers],[Tarih]])+1)=0,RaporTarihi,INDEX(tblKasa[Tarih],ROW($A422)-ROW(tblKasa[[#Headers],[Tarih]])+1))-$A422,RaporTarihi-$A422))</f>
        <v/>
      </c>
      <c r="E422" s="18" t="n">
        <f aca="false">IF($C422="",0,ROUND($C422*$D422,0))</f>
        <v>0</v>
      </c>
      <c r="F422" s="22"/>
    </row>
    <row r="423" customFormat="false" ht="15" hidden="false" customHeight="false" outlineLevel="0" collapsed="false">
      <c r="A423" s="21"/>
      <c r="B423" s="22"/>
      <c r="C423" s="23"/>
      <c r="D423" s="19" t="str">
        <f aca="false">IF($A423="","",IFERROR(IF(INDEX(tblKasa[Tarih],ROW($A423)-ROW(tblKasa[[#Headers],[Tarih]])+1)=0,RaporTarihi,INDEX(tblKasa[Tarih],ROW($A423)-ROW(tblKasa[[#Headers],[Tarih]])+1))-$A423,RaporTarihi-$A423))</f>
        <v/>
      </c>
      <c r="E423" s="18" t="n">
        <f aca="false">IF($C423="",0,ROUND($C423*$D423,0))</f>
        <v>0</v>
      </c>
      <c r="F423" s="22"/>
    </row>
    <row r="424" customFormat="false" ht="15" hidden="false" customHeight="false" outlineLevel="0" collapsed="false">
      <c r="A424" s="21"/>
      <c r="B424" s="22"/>
      <c r="C424" s="23"/>
      <c r="D424" s="19" t="str">
        <f aca="false">IF($A424="","",IFERROR(IF(INDEX(tblKasa[Tarih],ROW($A424)-ROW(tblKasa[[#Headers],[Tarih]])+1)=0,RaporTarihi,INDEX(tblKasa[Tarih],ROW($A424)-ROW(tblKasa[[#Headers],[Tarih]])+1))-$A424,RaporTarihi-$A424))</f>
        <v/>
      </c>
      <c r="E424" s="18" t="n">
        <f aca="false">IF($C424="",0,ROUND($C424*$D424,0))</f>
        <v>0</v>
      </c>
      <c r="F424" s="22"/>
    </row>
    <row r="425" customFormat="false" ht="15" hidden="false" customHeight="false" outlineLevel="0" collapsed="false">
      <c r="A425" s="21"/>
      <c r="B425" s="22"/>
      <c r="C425" s="23"/>
      <c r="D425" s="19" t="str">
        <f aca="false">IF($A425="","",IFERROR(IF(INDEX(tblKasa[Tarih],ROW($A425)-ROW(tblKasa[[#Headers],[Tarih]])+1)=0,RaporTarihi,INDEX(tblKasa[Tarih],ROW($A425)-ROW(tblKasa[[#Headers],[Tarih]])+1))-$A425,RaporTarihi-$A425))</f>
        <v/>
      </c>
      <c r="E425" s="18" t="n">
        <f aca="false">IF($C425="",0,ROUND($C425*$D425,0))</f>
        <v>0</v>
      </c>
      <c r="F425" s="22"/>
    </row>
    <row r="426" customFormat="false" ht="15" hidden="false" customHeight="false" outlineLevel="0" collapsed="false">
      <c r="A426" s="21"/>
      <c r="B426" s="22"/>
      <c r="C426" s="23"/>
      <c r="D426" s="19" t="str">
        <f aca="false">IF($A426="","",IFERROR(IF(INDEX(tblKasa[Tarih],ROW($A426)-ROW(tblKasa[[#Headers],[Tarih]])+1)=0,RaporTarihi,INDEX(tblKasa[Tarih],ROW($A426)-ROW(tblKasa[[#Headers],[Tarih]])+1))-$A426,RaporTarihi-$A426))</f>
        <v/>
      </c>
      <c r="E426" s="18" t="n">
        <f aca="false">IF($C426="",0,ROUND($C426*$D426,0))</f>
        <v>0</v>
      </c>
      <c r="F426" s="22"/>
    </row>
    <row r="427" customFormat="false" ht="15" hidden="false" customHeight="false" outlineLevel="0" collapsed="false">
      <c r="A427" s="21"/>
      <c r="B427" s="22"/>
      <c r="C427" s="23"/>
      <c r="D427" s="19" t="str">
        <f aca="false">IF($A427="","",IFERROR(IF(INDEX(tblKasa[Tarih],ROW($A427)-ROW(tblKasa[[#Headers],[Tarih]])+1)=0,RaporTarihi,INDEX(tblKasa[Tarih],ROW($A427)-ROW(tblKasa[[#Headers],[Tarih]])+1))-$A427,RaporTarihi-$A427))</f>
        <v/>
      </c>
      <c r="E427" s="18" t="n">
        <f aca="false">IF($C427="",0,ROUND($C427*$D427,0))</f>
        <v>0</v>
      </c>
      <c r="F427" s="22"/>
    </row>
    <row r="428" customFormat="false" ht="15" hidden="false" customHeight="false" outlineLevel="0" collapsed="false">
      <c r="A428" s="21"/>
      <c r="B428" s="22"/>
      <c r="C428" s="23"/>
      <c r="D428" s="19" t="str">
        <f aca="false">IF($A428="","",IFERROR(IF(INDEX(tblKasa[Tarih],ROW($A428)-ROW(tblKasa[[#Headers],[Tarih]])+1)=0,RaporTarihi,INDEX(tblKasa[Tarih],ROW($A428)-ROW(tblKasa[[#Headers],[Tarih]])+1))-$A428,RaporTarihi-$A428))</f>
        <v/>
      </c>
      <c r="E428" s="18" t="n">
        <f aca="false">IF($C428="",0,ROUND($C428*$D428,0))</f>
        <v>0</v>
      </c>
      <c r="F428" s="22"/>
    </row>
    <row r="429" customFormat="false" ht="15" hidden="false" customHeight="false" outlineLevel="0" collapsed="false">
      <c r="A429" s="21"/>
      <c r="B429" s="22"/>
      <c r="C429" s="23"/>
      <c r="D429" s="19" t="str">
        <f aca="false">IF($A429="","",IFERROR(IF(INDEX(tblKasa[Tarih],ROW($A429)-ROW(tblKasa[[#Headers],[Tarih]])+1)=0,RaporTarihi,INDEX(tblKasa[Tarih],ROW($A429)-ROW(tblKasa[[#Headers],[Tarih]])+1))-$A429,RaporTarihi-$A429))</f>
        <v/>
      </c>
      <c r="E429" s="18" t="n">
        <f aca="false">IF($C429="",0,ROUND($C429*$D429,0))</f>
        <v>0</v>
      </c>
      <c r="F429" s="22"/>
    </row>
    <row r="430" customFormat="false" ht="15" hidden="false" customHeight="false" outlineLevel="0" collapsed="false">
      <c r="A430" s="21"/>
      <c r="B430" s="22"/>
      <c r="C430" s="23"/>
      <c r="D430" s="19" t="str">
        <f aca="false">IF($A430="","",IFERROR(IF(INDEX(tblKasa[Tarih],ROW($A430)-ROW(tblKasa[[#Headers],[Tarih]])+1)=0,RaporTarihi,INDEX(tblKasa[Tarih],ROW($A430)-ROW(tblKasa[[#Headers],[Tarih]])+1))-$A430,RaporTarihi-$A430))</f>
        <v/>
      </c>
      <c r="E430" s="18" t="n">
        <f aca="false">IF($C430="",0,ROUND($C430*$D430,0))</f>
        <v>0</v>
      </c>
      <c r="F430" s="22"/>
    </row>
    <row r="431" customFormat="false" ht="15" hidden="false" customHeight="false" outlineLevel="0" collapsed="false">
      <c r="A431" s="21"/>
      <c r="B431" s="22"/>
      <c r="C431" s="23"/>
      <c r="D431" s="19" t="str">
        <f aca="false">IF($A431="","",IFERROR(IF(INDEX(tblKasa[Tarih],ROW($A431)-ROW(tblKasa[[#Headers],[Tarih]])+1)=0,RaporTarihi,INDEX(tblKasa[Tarih],ROW($A431)-ROW(tblKasa[[#Headers],[Tarih]])+1))-$A431,RaporTarihi-$A431))</f>
        <v/>
      </c>
      <c r="E431" s="18" t="n">
        <f aca="false">IF($C431="",0,ROUND($C431*$D431,0))</f>
        <v>0</v>
      </c>
      <c r="F431" s="22"/>
    </row>
    <row r="432" customFormat="false" ht="15" hidden="false" customHeight="false" outlineLevel="0" collapsed="false">
      <c r="A432" s="21"/>
      <c r="B432" s="22"/>
      <c r="C432" s="23"/>
      <c r="D432" s="19" t="str">
        <f aca="false">IF($A432="","",IFERROR(IF(INDEX(tblKasa[Tarih],ROW($A432)-ROW(tblKasa[[#Headers],[Tarih]])+1)=0,RaporTarihi,INDEX(tblKasa[Tarih],ROW($A432)-ROW(tblKasa[[#Headers],[Tarih]])+1))-$A432,RaporTarihi-$A432))</f>
        <v/>
      </c>
      <c r="E432" s="18" t="n">
        <f aca="false">IF($C432="",0,ROUND($C432*$D432,0))</f>
        <v>0</v>
      </c>
      <c r="F432" s="22"/>
    </row>
    <row r="433" customFormat="false" ht="15" hidden="false" customHeight="false" outlineLevel="0" collapsed="false">
      <c r="A433" s="21"/>
      <c r="B433" s="22"/>
      <c r="C433" s="23"/>
      <c r="D433" s="19" t="str">
        <f aca="false">IF($A433="","",IFERROR(IF(INDEX(tblKasa[Tarih],ROW($A433)-ROW(tblKasa[[#Headers],[Tarih]])+1)=0,RaporTarihi,INDEX(tblKasa[Tarih],ROW($A433)-ROW(tblKasa[[#Headers],[Tarih]])+1))-$A433,RaporTarihi-$A433))</f>
        <v/>
      </c>
      <c r="E433" s="18" t="n">
        <f aca="false">IF($C433="",0,ROUND($C433*$D433,0))</f>
        <v>0</v>
      </c>
      <c r="F433" s="22"/>
    </row>
    <row r="434" customFormat="false" ht="15" hidden="false" customHeight="false" outlineLevel="0" collapsed="false">
      <c r="A434" s="21"/>
      <c r="B434" s="22"/>
      <c r="C434" s="23"/>
      <c r="D434" s="19" t="str">
        <f aca="false">IF($A434="","",IFERROR(IF(INDEX(tblKasa[Tarih],ROW($A434)-ROW(tblKasa[[#Headers],[Tarih]])+1)=0,RaporTarihi,INDEX(tblKasa[Tarih],ROW($A434)-ROW(tblKasa[[#Headers],[Tarih]])+1))-$A434,RaporTarihi-$A434))</f>
        <v/>
      </c>
      <c r="E434" s="18" t="n">
        <f aca="false">IF($C434="",0,ROUND($C434*$D434,0))</f>
        <v>0</v>
      </c>
      <c r="F434" s="22"/>
    </row>
    <row r="435" customFormat="false" ht="15" hidden="false" customHeight="false" outlineLevel="0" collapsed="false">
      <c r="A435" s="21"/>
      <c r="B435" s="22"/>
      <c r="C435" s="23"/>
      <c r="D435" s="19" t="str">
        <f aca="false">IF($A435="","",IFERROR(IF(INDEX(tblKasa[Tarih],ROW($A435)-ROW(tblKasa[[#Headers],[Tarih]])+1)=0,RaporTarihi,INDEX(tblKasa[Tarih],ROW($A435)-ROW(tblKasa[[#Headers],[Tarih]])+1))-$A435,RaporTarihi-$A435))</f>
        <v/>
      </c>
      <c r="E435" s="18" t="n">
        <f aca="false">IF($C435="",0,ROUND($C435*$D435,0))</f>
        <v>0</v>
      </c>
      <c r="F435" s="22"/>
    </row>
    <row r="436" customFormat="false" ht="15" hidden="false" customHeight="false" outlineLevel="0" collapsed="false">
      <c r="A436" s="21"/>
      <c r="B436" s="22"/>
      <c r="C436" s="23"/>
      <c r="D436" s="19" t="str">
        <f aca="false">IF($A436="","",IFERROR(IF(INDEX(tblKasa[Tarih],ROW($A436)-ROW(tblKasa[[#Headers],[Tarih]])+1)=0,RaporTarihi,INDEX(tblKasa[Tarih],ROW($A436)-ROW(tblKasa[[#Headers],[Tarih]])+1))-$A436,RaporTarihi-$A436))</f>
        <v/>
      </c>
      <c r="E436" s="18" t="n">
        <f aca="false">IF($C436="",0,ROUND($C436*$D436,0))</f>
        <v>0</v>
      </c>
      <c r="F436" s="22"/>
    </row>
    <row r="437" customFormat="false" ht="15" hidden="false" customHeight="false" outlineLevel="0" collapsed="false">
      <c r="A437" s="21"/>
      <c r="B437" s="22"/>
      <c r="C437" s="23"/>
      <c r="D437" s="19" t="str">
        <f aca="false">IF($A437="","",IFERROR(IF(INDEX(tblKasa[Tarih],ROW($A437)-ROW(tblKasa[[#Headers],[Tarih]])+1)=0,RaporTarihi,INDEX(tblKasa[Tarih],ROW($A437)-ROW(tblKasa[[#Headers],[Tarih]])+1))-$A437,RaporTarihi-$A437))</f>
        <v/>
      </c>
      <c r="E437" s="18" t="n">
        <f aca="false">IF($C437="",0,ROUND($C437*$D437,0))</f>
        <v>0</v>
      </c>
      <c r="F437" s="22"/>
    </row>
    <row r="438" customFormat="false" ht="15" hidden="false" customHeight="false" outlineLevel="0" collapsed="false">
      <c r="A438" s="21"/>
      <c r="B438" s="22"/>
      <c r="C438" s="23"/>
      <c r="D438" s="19" t="str">
        <f aca="false">IF($A438="","",IFERROR(IF(INDEX(tblKasa[Tarih],ROW($A438)-ROW(tblKasa[[#Headers],[Tarih]])+1)=0,RaporTarihi,INDEX(tblKasa[Tarih],ROW($A438)-ROW(tblKasa[[#Headers],[Tarih]])+1))-$A438,RaporTarihi-$A438))</f>
        <v/>
      </c>
      <c r="E438" s="18" t="n">
        <f aca="false">IF($C438="",0,ROUND($C438*$D438,0))</f>
        <v>0</v>
      </c>
      <c r="F438" s="22"/>
    </row>
    <row r="439" customFormat="false" ht="15" hidden="false" customHeight="false" outlineLevel="0" collapsed="false">
      <c r="A439" s="21"/>
      <c r="B439" s="22"/>
      <c r="C439" s="23"/>
      <c r="D439" s="19" t="str">
        <f aca="false">IF($A439="","",IFERROR(IF(INDEX(tblKasa[Tarih],ROW($A439)-ROW(tblKasa[[#Headers],[Tarih]])+1)=0,RaporTarihi,INDEX(tblKasa[Tarih],ROW($A439)-ROW(tblKasa[[#Headers],[Tarih]])+1))-$A439,RaporTarihi-$A439))</f>
        <v/>
      </c>
      <c r="E439" s="18" t="n">
        <f aca="false">IF($C439="",0,ROUND($C439*$D439,0))</f>
        <v>0</v>
      </c>
      <c r="F439" s="22"/>
    </row>
    <row r="440" customFormat="false" ht="15" hidden="false" customHeight="false" outlineLevel="0" collapsed="false">
      <c r="A440" s="21"/>
      <c r="B440" s="22"/>
      <c r="C440" s="23"/>
      <c r="D440" s="19" t="str">
        <f aca="false">IF($A440="","",IFERROR(IF(INDEX(tblKasa[Tarih],ROW($A440)-ROW(tblKasa[[#Headers],[Tarih]])+1)=0,RaporTarihi,INDEX(tblKasa[Tarih],ROW($A440)-ROW(tblKasa[[#Headers],[Tarih]])+1))-$A440,RaporTarihi-$A440))</f>
        <v/>
      </c>
      <c r="E440" s="18" t="n">
        <f aca="false">IF($C440="",0,ROUND($C440*$D440,0))</f>
        <v>0</v>
      </c>
      <c r="F440" s="22"/>
    </row>
    <row r="441" customFormat="false" ht="15" hidden="false" customHeight="false" outlineLevel="0" collapsed="false">
      <c r="A441" s="21"/>
      <c r="B441" s="22"/>
      <c r="C441" s="23"/>
      <c r="D441" s="19" t="str">
        <f aca="false">IF($A441="","",IFERROR(IF(INDEX(tblKasa[Tarih],ROW($A441)-ROW(tblKasa[[#Headers],[Tarih]])+1)=0,RaporTarihi,INDEX(tblKasa[Tarih],ROW($A441)-ROW(tblKasa[[#Headers],[Tarih]])+1))-$A441,RaporTarihi-$A441))</f>
        <v/>
      </c>
      <c r="E441" s="18" t="n">
        <f aca="false">IF($C441="",0,ROUND($C441*$D441,0))</f>
        <v>0</v>
      </c>
      <c r="F441" s="22"/>
    </row>
    <row r="442" customFormat="false" ht="15" hidden="false" customHeight="false" outlineLevel="0" collapsed="false">
      <c r="A442" s="21"/>
      <c r="B442" s="22"/>
      <c r="C442" s="23"/>
      <c r="D442" s="19" t="str">
        <f aca="false">IF($A442="","",IFERROR(IF(INDEX(tblKasa[Tarih],ROW($A442)-ROW(tblKasa[[#Headers],[Tarih]])+1)=0,RaporTarihi,INDEX(tblKasa[Tarih],ROW($A442)-ROW(tblKasa[[#Headers],[Tarih]])+1))-$A442,RaporTarihi-$A442))</f>
        <v/>
      </c>
      <c r="E442" s="18" t="n">
        <f aca="false">IF($C442="",0,ROUND($C442*$D442,0))</f>
        <v>0</v>
      </c>
      <c r="F442" s="22"/>
    </row>
    <row r="443" customFormat="false" ht="15" hidden="false" customHeight="false" outlineLevel="0" collapsed="false">
      <c r="A443" s="21"/>
      <c r="B443" s="22"/>
      <c r="C443" s="23"/>
      <c r="D443" s="19" t="str">
        <f aca="false">IF($A443="","",IFERROR(IF(INDEX(tblKasa[Tarih],ROW($A443)-ROW(tblKasa[[#Headers],[Tarih]])+1)=0,RaporTarihi,INDEX(tblKasa[Tarih],ROW($A443)-ROW(tblKasa[[#Headers],[Tarih]])+1))-$A443,RaporTarihi-$A443))</f>
        <v/>
      </c>
      <c r="E443" s="18" t="n">
        <f aca="false">IF($C443="",0,ROUND($C443*$D443,0))</f>
        <v>0</v>
      </c>
      <c r="F443" s="22"/>
    </row>
    <row r="444" customFormat="false" ht="15" hidden="false" customHeight="false" outlineLevel="0" collapsed="false">
      <c r="A444" s="21"/>
      <c r="B444" s="22"/>
      <c r="C444" s="23"/>
      <c r="D444" s="19" t="str">
        <f aca="false">IF($A444="","",IFERROR(IF(INDEX(tblKasa[Tarih],ROW($A444)-ROW(tblKasa[[#Headers],[Tarih]])+1)=0,RaporTarihi,INDEX(tblKasa[Tarih],ROW($A444)-ROW(tblKasa[[#Headers],[Tarih]])+1))-$A444,RaporTarihi-$A444))</f>
        <v/>
      </c>
      <c r="E444" s="18" t="n">
        <f aca="false">IF($C444="",0,ROUND($C444*$D444,0))</f>
        <v>0</v>
      </c>
      <c r="F444" s="22"/>
    </row>
    <row r="445" customFormat="false" ht="15" hidden="false" customHeight="false" outlineLevel="0" collapsed="false">
      <c r="A445" s="21"/>
      <c r="B445" s="22"/>
      <c r="C445" s="23"/>
      <c r="D445" s="19" t="str">
        <f aca="false">IF($A445="","",IFERROR(IF(INDEX(tblKasa[Tarih],ROW($A445)-ROW(tblKasa[[#Headers],[Tarih]])+1)=0,RaporTarihi,INDEX(tblKasa[Tarih],ROW($A445)-ROW(tblKasa[[#Headers],[Tarih]])+1))-$A445,RaporTarihi-$A445))</f>
        <v/>
      </c>
      <c r="E445" s="18" t="n">
        <f aca="false">IF($C445="",0,ROUND($C445*$D445,0))</f>
        <v>0</v>
      </c>
      <c r="F445" s="22"/>
    </row>
    <row r="446" customFormat="false" ht="15" hidden="false" customHeight="false" outlineLevel="0" collapsed="false">
      <c r="A446" s="21"/>
      <c r="B446" s="22"/>
      <c r="C446" s="23"/>
      <c r="D446" s="19" t="str">
        <f aca="false">IF($A446="","",IFERROR(IF(INDEX(tblKasa[Tarih],ROW($A446)-ROW(tblKasa[[#Headers],[Tarih]])+1)=0,RaporTarihi,INDEX(tblKasa[Tarih],ROW($A446)-ROW(tblKasa[[#Headers],[Tarih]])+1))-$A446,RaporTarihi-$A446))</f>
        <v/>
      </c>
      <c r="E446" s="18" t="n">
        <f aca="false">IF($C446="",0,ROUND($C446*$D446,0))</f>
        <v>0</v>
      </c>
      <c r="F446" s="22"/>
    </row>
    <row r="447" customFormat="false" ht="15" hidden="false" customHeight="false" outlineLevel="0" collapsed="false">
      <c r="A447" s="21"/>
      <c r="B447" s="22"/>
      <c r="C447" s="23"/>
      <c r="D447" s="19" t="str">
        <f aca="false">IF($A447="","",IFERROR(IF(INDEX(tblKasa[Tarih],ROW($A447)-ROW(tblKasa[[#Headers],[Tarih]])+1)=0,RaporTarihi,INDEX(tblKasa[Tarih],ROW($A447)-ROW(tblKasa[[#Headers],[Tarih]])+1))-$A447,RaporTarihi-$A447))</f>
        <v/>
      </c>
      <c r="E447" s="18" t="n">
        <f aca="false">IF($C447="",0,ROUND($C447*$D447,0))</f>
        <v>0</v>
      </c>
      <c r="F447" s="22"/>
    </row>
    <row r="448" customFormat="false" ht="15" hidden="false" customHeight="false" outlineLevel="0" collapsed="false">
      <c r="A448" s="21"/>
      <c r="B448" s="22"/>
      <c r="C448" s="23"/>
      <c r="D448" s="19" t="str">
        <f aca="false">IF($A448="","",IFERROR(IF(INDEX(tblKasa[Tarih],ROW($A448)-ROW(tblKasa[[#Headers],[Tarih]])+1)=0,RaporTarihi,INDEX(tblKasa[Tarih],ROW($A448)-ROW(tblKasa[[#Headers],[Tarih]])+1))-$A448,RaporTarihi-$A448))</f>
        <v/>
      </c>
      <c r="E448" s="18" t="n">
        <f aca="false">IF($C448="",0,ROUND($C448*$D448,0))</f>
        <v>0</v>
      </c>
      <c r="F448" s="22"/>
    </row>
    <row r="449" customFormat="false" ht="15" hidden="false" customHeight="false" outlineLevel="0" collapsed="false">
      <c r="A449" s="21"/>
      <c r="B449" s="22"/>
      <c r="C449" s="23"/>
      <c r="D449" s="19" t="str">
        <f aca="false">IF($A449="","",IFERROR(IF(INDEX(tblKasa[Tarih],ROW($A449)-ROW(tblKasa[[#Headers],[Tarih]])+1)=0,RaporTarihi,INDEX(tblKasa[Tarih],ROW($A449)-ROW(tblKasa[[#Headers],[Tarih]])+1))-$A449,RaporTarihi-$A449))</f>
        <v/>
      </c>
      <c r="E449" s="18" t="n">
        <f aca="false">IF($C449="",0,ROUND($C449*$D449,0))</f>
        <v>0</v>
      </c>
      <c r="F449" s="22"/>
    </row>
    <row r="450" customFormat="false" ht="15" hidden="false" customHeight="false" outlineLevel="0" collapsed="false">
      <c r="A450" s="21"/>
      <c r="B450" s="22"/>
      <c r="C450" s="23"/>
      <c r="D450" s="19" t="str">
        <f aca="false">IF($A450="","",IFERROR(IF(INDEX(tblKasa[Tarih],ROW($A450)-ROW(tblKasa[[#Headers],[Tarih]])+1)=0,RaporTarihi,INDEX(tblKasa[Tarih],ROW($A450)-ROW(tblKasa[[#Headers],[Tarih]])+1))-$A450,RaporTarihi-$A450))</f>
        <v/>
      </c>
      <c r="E450" s="18" t="n">
        <f aca="false">IF($C450="",0,ROUND($C450*$D450,0))</f>
        <v>0</v>
      </c>
      <c r="F450" s="22"/>
    </row>
    <row r="451" customFormat="false" ht="15" hidden="false" customHeight="false" outlineLevel="0" collapsed="false">
      <c r="A451" s="21"/>
      <c r="B451" s="22"/>
      <c r="C451" s="23"/>
      <c r="D451" s="19" t="str">
        <f aca="false">IF($A451="","",IFERROR(IF(INDEX(tblKasa[Tarih],ROW($A451)-ROW(tblKasa[[#Headers],[Tarih]])+1)=0,RaporTarihi,INDEX(tblKasa[Tarih],ROW($A451)-ROW(tblKasa[[#Headers],[Tarih]])+1))-$A451,RaporTarihi-$A451))</f>
        <v/>
      </c>
      <c r="E451" s="18" t="n">
        <f aca="false">IF($C451="",0,ROUND($C451*$D451,0))</f>
        <v>0</v>
      </c>
      <c r="F451" s="22"/>
    </row>
    <row r="452" customFormat="false" ht="15" hidden="false" customHeight="false" outlineLevel="0" collapsed="false">
      <c r="A452" s="21"/>
      <c r="B452" s="22"/>
      <c r="C452" s="23"/>
      <c r="D452" s="19" t="str">
        <f aca="false">IF($A452="","",IFERROR(IF(INDEX(tblKasa[Tarih],ROW($A452)-ROW(tblKasa[[#Headers],[Tarih]])+1)=0,RaporTarihi,INDEX(tblKasa[Tarih],ROW($A452)-ROW(tblKasa[[#Headers],[Tarih]])+1))-$A452,RaporTarihi-$A452))</f>
        <v/>
      </c>
      <c r="E452" s="18" t="n">
        <f aca="false">IF($C452="",0,ROUND($C452*$D452,0))</f>
        <v>0</v>
      </c>
      <c r="F452" s="22"/>
    </row>
    <row r="453" customFormat="false" ht="15" hidden="false" customHeight="false" outlineLevel="0" collapsed="false">
      <c r="A453" s="21"/>
      <c r="B453" s="22"/>
      <c r="C453" s="23"/>
      <c r="D453" s="19" t="str">
        <f aca="false">IF($A453="","",IFERROR(IF(INDEX(tblKasa[Tarih],ROW($A453)-ROW(tblKasa[[#Headers],[Tarih]])+1)=0,RaporTarihi,INDEX(tblKasa[Tarih],ROW($A453)-ROW(tblKasa[[#Headers],[Tarih]])+1))-$A453,RaporTarihi-$A453))</f>
        <v/>
      </c>
      <c r="E453" s="18" t="n">
        <f aca="false">IF($C453="",0,ROUND($C453*$D453,0))</f>
        <v>0</v>
      </c>
      <c r="F453" s="22"/>
    </row>
    <row r="454" customFormat="false" ht="15" hidden="false" customHeight="false" outlineLevel="0" collapsed="false">
      <c r="A454" s="21"/>
      <c r="B454" s="22"/>
      <c r="C454" s="23"/>
      <c r="D454" s="19" t="str">
        <f aca="false">IF($A454="","",IFERROR(IF(INDEX(tblKasa[Tarih],ROW($A454)-ROW(tblKasa[[#Headers],[Tarih]])+1)=0,RaporTarihi,INDEX(tblKasa[Tarih],ROW($A454)-ROW(tblKasa[[#Headers],[Tarih]])+1))-$A454,RaporTarihi-$A454))</f>
        <v/>
      </c>
      <c r="E454" s="18" t="n">
        <f aca="false">IF($C454="",0,ROUND($C454*$D454,0))</f>
        <v>0</v>
      </c>
      <c r="F454" s="22"/>
    </row>
    <row r="455" customFormat="false" ht="15" hidden="false" customHeight="false" outlineLevel="0" collapsed="false">
      <c r="A455" s="21"/>
      <c r="B455" s="22"/>
      <c r="C455" s="23"/>
      <c r="D455" s="19" t="str">
        <f aca="false">IF($A455="","",IFERROR(IF(INDEX(tblKasa[Tarih],ROW($A455)-ROW(tblKasa[[#Headers],[Tarih]])+1)=0,RaporTarihi,INDEX(tblKasa[Tarih],ROW($A455)-ROW(tblKasa[[#Headers],[Tarih]])+1))-$A455,RaporTarihi-$A455))</f>
        <v/>
      </c>
      <c r="E455" s="18" t="n">
        <f aca="false">IF($C455="",0,ROUND($C455*$D455,0))</f>
        <v>0</v>
      </c>
      <c r="F455" s="22"/>
    </row>
    <row r="456" customFormat="false" ht="15" hidden="false" customHeight="false" outlineLevel="0" collapsed="false">
      <c r="A456" s="21"/>
      <c r="B456" s="22"/>
      <c r="C456" s="23"/>
      <c r="D456" s="19" t="str">
        <f aca="false">IF($A456="","",IFERROR(IF(INDEX(tblKasa[Tarih],ROW($A456)-ROW(tblKasa[[#Headers],[Tarih]])+1)=0,RaporTarihi,INDEX(tblKasa[Tarih],ROW($A456)-ROW(tblKasa[[#Headers],[Tarih]])+1))-$A456,RaporTarihi-$A456))</f>
        <v/>
      </c>
      <c r="E456" s="18" t="n">
        <f aca="false">IF($C456="",0,ROUND($C456*$D456,0))</f>
        <v>0</v>
      </c>
      <c r="F456" s="22"/>
    </row>
    <row r="457" customFormat="false" ht="15" hidden="false" customHeight="false" outlineLevel="0" collapsed="false">
      <c r="A457" s="21"/>
      <c r="B457" s="22"/>
      <c r="C457" s="23"/>
      <c r="D457" s="19" t="str">
        <f aca="false">IF($A457="","",IFERROR(IF(INDEX(tblKasa[Tarih],ROW($A457)-ROW(tblKasa[[#Headers],[Tarih]])+1)=0,RaporTarihi,INDEX(tblKasa[Tarih],ROW($A457)-ROW(tblKasa[[#Headers],[Tarih]])+1))-$A457,RaporTarihi-$A457))</f>
        <v/>
      </c>
      <c r="E457" s="18" t="n">
        <f aca="false">IF($C457="",0,ROUND($C457*$D457,0))</f>
        <v>0</v>
      </c>
      <c r="F457" s="22"/>
    </row>
    <row r="458" customFormat="false" ht="15" hidden="false" customHeight="false" outlineLevel="0" collapsed="false">
      <c r="A458" s="21"/>
      <c r="B458" s="22"/>
      <c r="C458" s="23"/>
      <c r="D458" s="19" t="str">
        <f aca="false">IF($A458="","",IFERROR(IF(INDEX(tblKasa[Tarih],ROW($A458)-ROW(tblKasa[[#Headers],[Tarih]])+1)=0,RaporTarihi,INDEX(tblKasa[Tarih],ROW($A458)-ROW(tblKasa[[#Headers],[Tarih]])+1))-$A458,RaporTarihi-$A458))</f>
        <v/>
      </c>
      <c r="E458" s="18" t="n">
        <f aca="false">IF($C458="",0,ROUND($C458*$D458,0))</f>
        <v>0</v>
      </c>
      <c r="F458" s="22"/>
    </row>
    <row r="459" customFormat="false" ht="15" hidden="false" customHeight="false" outlineLevel="0" collapsed="false">
      <c r="A459" s="21"/>
      <c r="B459" s="22"/>
      <c r="C459" s="23"/>
      <c r="D459" s="19" t="str">
        <f aca="false">IF($A459="","",IFERROR(IF(INDEX(tblKasa[Tarih],ROW($A459)-ROW(tblKasa[[#Headers],[Tarih]])+1)=0,RaporTarihi,INDEX(tblKasa[Tarih],ROW($A459)-ROW(tblKasa[[#Headers],[Tarih]])+1))-$A459,RaporTarihi-$A459))</f>
        <v/>
      </c>
      <c r="E459" s="18" t="n">
        <f aca="false">IF($C459="",0,ROUND($C459*$D459,0))</f>
        <v>0</v>
      </c>
      <c r="F459" s="22"/>
    </row>
    <row r="460" customFormat="false" ht="15" hidden="false" customHeight="false" outlineLevel="0" collapsed="false">
      <c r="A460" s="21"/>
      <c r="B460" s="22"/>
      <c r="C460" s="23"/>
      <c r="D460" s="19" t="str">
        <f aca="false">IF($A460="","",IFERROR(IF(INDEX(tblKasa[Tarih],ROW($A460)-ROW(tblKasa[[#Headers],[Tarih]])+1)=0,RaporTarihi,INDEX(tblKasa[Tarih],ROW($A460)-ROW(tblKasa[[#Headers],[Tarih]])+1))-$A460,RaporTarihi-$A460))</f>
        <v/>
      </c>
      <c r="E460" s="18" t="n">
        <f aca="false">IF($C460="",0,ROUND($C460*$D460,0))</f>
        <v>0</v>
      </c>
      <c r="F460" s="22"/>
    </row>
    <row r="461" customFormat="false" ht="15" hidden="false" customHeight="false" outlineLevel="0" collapsed="false">
      <c r="A461" s="21"/>
      <c r="B461" s="22"/>
      <c r="C461" s="23"/>
      <c r="D461" s="19" t="str">
        <f aca="false">IF($A461="","",IFERROR(IF(INDEX(tblKasa[Tarih],ROW($A461)-ROW(tblKasa[[#Headers],[Tarih]])+1)=0,RaporTarihi,INDEX(tblKasa[Tarih],ROW($A461)-ROW(tblKasa[[#Headers],[Tarih]])+1))-$A461,RaporTarihi-$A461))</f>
        <v/>
      </c>
      <c r="E461" s="18" t="n">
        <f aca="false">IF($C461="",0,ROUND($C461*$D461,0))</f>
        <v>0</v>
      </c>
      <c r="F461" s="22"/>
    </row>
    <row r="462" customFormat="false" ht="15" hidden="false" customHeight="false" outlineLevel="0" collapsed="false">
      <c r="A462" s="21"/>
      <c r="B462" s="22"/>
      <c r="C462" s="23"/>
      <c r="D462" s="19" t="str">
        <f aca="false">IF($A462="","",IFERROR(IF(INDEX(tblKasa[Tarih],ROW($A462)-ROW(tblKasa[[#Headers],[Tarih]])+1)=0,RaporTarihi,INDEX(tblKasa[Tarih],ROW($A462)-ROW(tblKasa[[#Headers],[Tarih]])+1))-$A462,RaporTarihi-$A462))</f>
        <v/>
      </c>
      <c r="E462" s="18" t="n">
        <f aca="false">IF($C462="",0,ROUND($C462*$D462,0))</f>
        <v>0</v>
      </c>
      <c r="F462" s="22"/>
    </row>
    <row r="463" customFormat="false" ht="15" hidden="false" customHeight="false" outlineLevel="0" collapsed="false">
      <c r="A463" s="21"/>
      <c r="B463" s="22"/>
      <c r="C463" s="23"/>
      <c r="D463" s="19" t="str">
        <f aca="false">IF($A463="","",IFERROR(IF(INDEX(tblKasa[Tarih],ROW($A463)-ROW(tblKasa[[#Headers],[Tarih]])+1)=0,RaporTarihi,INDEX(tblKasa[Tarih],ROW($A463)-ROW(tblKasa[[#Headers],[Tarih]])+1))-$A463,RaporTarihi-$A463))</f>
        <v/>
      </c>
      <c r="E463" s="18" t="n">
        <f aca="false">IF($C463="",0,ROUND($C463*$D463,0))</f>
        <v>0</v>
      </c>
      <c r="F463" s="22"/>
    </row>
    <row r="464" customFormat="false" ht="15" hidden="false" customHeight="false" outlineLevel="0" collapsed="false">
      <c r="A464" s="21"/>
      <c r="B464" s="22"/>
      <c r="C464" s="23"/>
      <c r="D464" s="19" t="str">
        <f aca="false">IF($A464="","",IFERROR(IF(INDEX(tblKasa[Tarih],ROW($A464)-ROW(tblKasa[[#Headers],[Tarih]])+1)=0,RaporTarihi,INDEX(tblKasa[Tarih],ROW($A464)-ROW(tblKasa[[#Headers],[Tarih]])+1))-$A464,RaporTarihi-$A464))</f>
        <v/>
      </c>
      <c r="E464" s="18" t="n">
        <f aca="false">IF($C464="",0,ROUND($C464*$D464,0))</f>
        <v>0</v>
      </c>
      <c r="F464" s="22"/>
    </row>
    <row r="465" customFormat="false" ht="15" hidden="false" customHeight="false" outlineLevel="0" collapsed="false">
      <c r="A465" s="21"/>
      <c r="B465" s="22"/>
      <c r="C465" s="23"/>
      <c r="D465" s="19" t="str">
        <f aca="false">IF($A465="","",IFERROR(IF(INDEX(tblKasa[Tarih],ROW($A465)-ROW(tblKasa[[#Headers],[Tarih]])+1)=0,RaporTarihi,INDEX(tblKasa[Tarih],ROW($A465)-ROW(tblKasa[[#Headers],[Tarih]])+1))-$A465,RaporTarihi-$A465))</f>
        <v/>
      </c>
      <c r="E465" s="18" t="n">
        <f aca="false">IF($C465="",0,ROUND($C465*$D465,0))</f>
        <v>0</v>
      </c>
      <c r="F465" s="22"/>
    </row>
    <row r="466" customFormat="false" ht="15" hidden="false" customHeight="false" outlineLevel="0" collapsed="false">
      <c r="A466" s="21"/>
      <c r="B466" s="22"/>
      <c r="C466" s="23"/>
      <c r="D466" s="19" t="str">
        <f aca="false">IF($A466="","",IFERROR(IF(INDEX(tblKasa[Tarih],ROW($A466)-ROW(tblKasa[[#Headers],[Tarih]])+1)=0,RaporTarihi,INDEX(tblKasa[Tarih],ROW($A466)-ROW(tblKasa[[#Headers],[Tarih]])+1))-$A466,RaporTarihi-$A466))</f>
        <v/>
      </c>
      <c r="E466" s="18" t="n">
        <f aca="false">IF($C466="",0,ROUND($C466*$D466,0))</f>
        <v>0</v>
      </c>
      <c r="F466" s="22"/>
    </row>
    <row r="467" customFormat="false" ht="15" hidden="false" customHeight="false" outlineLevel="0" collapsed="false">
      <c r="A467" s="21"/>
      <c r="B467" s="22"/>
      <c r="C467" s="23"/>
      <c r="D467" s="19" t="str">
        <f aca="false">IF($A467="","",IFERROR(IF(INDEX(tblKasa[Tarih],ROW($A467)-ROW(tblKasa[[#Headers],[Tarih]])+1)=0,RaporTarihi,INDEX(tblKasa[Tarih],ROW($A467)-ROW(tblKasa[[#Headers],[Tarih]])+1))-$A467,RaporTarihi-$A467))</f>
        <v/>
      </c>
      <c r="E467" s="18" t="n">
        <f aca="false">IF($C467="",0,ROUND($C467*$D467,0))</f>
        <v>0</v>
      </c>
      <c r="F467" s="22"/>
    </row>
    <row r="468" customFormat="false" ht="15" hidden="false" customHeight="false" outlineLevel="0" collapsed="false">
      <c r="A468" s="21"/>
      <c r="B468" s="22"/>
      <c r="C468" s="23"/>
      <c r="D468" s="19" t="str">
        <f aca="false">IF($A468="","",IFERROR(IF(INDEX(tblKasa[Tarih],ROW($A468)-ROW(tblKasa[[#Headers],[Tarih]])+1)=0,RaporTarihi,INDEX(tblKasa[Tarih],ROW($A468)-ROW(tblKasa[[#Headers],[Tarih]])+1))-$A468,RaporTarihi-$A468))</f>
        <v/>
      </c>
      <c r="E468" s="18" t="n">
        <f aca="false">IF($C468="",0,ROUND($C468*$D468,0))</f>
        <v>0</v>
      </c>
      <c r="F468" s="22"/>
    </row>
    <row r="469" customFormat="false" ht="15" hidden="false" customHeight="false" outlineLevel="0" collapsed="false">
      <c r="A469" s="21"/>
      <c r="B469" s="22"/>
      <c r="C469" s="23"/>
      <c r="D469" s="19" t="str">
        <f aca="false">IF($A469="","",IFERROR(IF(INDEX(tblKasa[Tarih],ROW($A469)-ROW(tblKasa[[#Headers],[Tarih]])+1)=0,RaporTarihi,INDEX(tblKasa[Tarih],ROW($A469)-ROW(tblKasa[[#Headers],[Tarih]])+1))-$A469,RaporTarihi-$A469))</f>
        <v/>
      </c>
      <c r="E469" s="18" t="n">
        <f aca="false">IF($C469="",0,ROUND($C469*$D469,0))</f>
        <v>0</v>
      </c>
      <c r="F469" s="22"/>
    </row>
    <row r="470" customFormat="false" ht="15" hidden="false" customHeight="false" outlineLevel="0" collapsed="false">
      <c r="A470" s="21"/>
      <c r="B470" s="22"/>
      <c r="C470" s="23"/>
      <c r="D470" s="19" t="str">
        <f aca="false">IF($A470="","",IFERROR(IF(INDEX(tblKasa[Tarih],ROW($A470)-ROW(tblKasa[[#Headers],[Tarih]])+1)=0,RaporTarihi,INDEX(tblKasa[Tarih],ROW($A470)-ROW(tblKasa[[#Headers],[Tarih]])+1))-$A470,RaporTarihi-$A470))</f>
        <v/>
      </c>
      <c r="E470" s="18" t="n">
        <f aca="false">IF($C470="",0,ROUND($C470*$D470,0))</f>
        <v>0</v>
      </c>
      <c r="F470" s="22"/>
    </row>
    <row r="471" customFormat="false" ht="15" hidden="false" customHeight="false" outlineLevel="0" collapsed="false">
      <c r="A471" s="21"/>
      <c r="B471" s="22"/>
      <c r="C471" s="23"/>
      <c r="D471" s="19" t="str">
        <f aca="false">IF($A471="","",IFERROR(IF(INDEX(tblKasa[Tarih],ROW($A471)-ROW(tblKasa[[#Headers],[Tarih]])+1)=0,RaporTarihi,INDEX(tblKasa[Tarih],ROW($A471)-ROW(tblKasa[[#Headers],[Tarih]])+1))-$A471,RaporTarihi-$A471))</f>
        <v/>
      </c>
      <c r="E471" s="18" t="n">
        <f aca="false">IF($C471="",0,ROUND($C471*$D471,0))</f>
        <v>0</v>
      </c>
      <c r="F471" s="22"/>
    </row>
    <row r="472" customFormat="false" ht="15" hidden="false" customHeight="false" outlineLevel="0" collapsed="false">
      <c r="A472" s="21"/>
      <c r="B472" s="22"/>
      <c r="C472" s="23"/>
      <c r="D472" s="19" t="str">
        <f aca="false">IF($A472="","",IFERROR(IF(INDEX(tblKasa[Tarih],ROW($A472)-ROW(tblKasa[[#Headers],[Tarih]])+1)=0,RaporTarihi,INDEX(tblKasa[Tarih],ROW($A472)-ROW(tblKasa[[#Headers],[Tarih]])+1))-$A472,RaporTarihi-$A472))</f>
        <v/>
      </c>
      <c r="E472" s="18" t="n">
        <f aca="false">IF($C472="",0,ROUND($C472*$D472,0))</f>
        <v>0</v>
      </c>
      <c r="F472" s="22"/>
    </row>
    <row r="473" customFormat="false" ht="15" hidden="false" customHeight="false" outlineLevel="0" collapsed="false">
      <c r="A473" s="21"/>
      <c r="B473" s="22"/>
      <c r="C473" s="23"/>
      <c r="D473" s="19" t="str">
        <f aca="false">IF($A473="","",IFERROR(IF(INDEX(tblKasa[Tarih],ROW($A473)-ROW(tblKasa[[#Headers],[Tarih]])+1)=0,RaporTarihi,INDEX(tblKasa[Tarih],ROW($A473)-ROW(tblKasa[[#Headers],[Tarih]])+1))-$A473,RaporTarihi-$A473))</f>
        <v/>
      </c>
      <c r="E473" s="18" t="n">
        <f aca="false">IF($C473="",0,ROUND($C473*$D473,0))</f>
        <v>0</v>
      </c>
      <c r="F473" s="22"/>
    </row>
    <row r="474" customFormat="false" ht="15" hidden="false" customHeight="false" outlineLevel="0" collapsed="false">
      <c r="A474" s="21"/>
      <c r="B474" s="22"/>
      <c r="C474" s="23"/>
      <c r="D474" s="19" t="str">
        <f aca="false">IF($A474="","",IFERROR(IF(INDEX(tblKasa[Tarih],ROW($A474)-ROW(tblKasa[[#Headers],[Tarih]])+1)=0,RaporTarihi,INDEX(tblKasa[Tarih],ROW($A474)-ROW(tblKasa[[#Headers],[Tarih]])+1))-$A474,RaporTarihi-$A474))</f>
        <v/>
      </c>
      <c r="E474" s="18" t="n">
        <f aca="false">IF($C474="",0,ROUND($C474*$D474,0))</f>
        <v>0</v>
      </c>
      <c r="F474" s="22"/>
    </row>
    <row r="475" customFormat="false" ht="15" hidden="false" customHeight="false" outlineLevel="0" collapsed="false">
      <c r="A475" s="21"/>
      <c r="B475" s="22"/>
      <c r="C475" s="23"/>
      <c r="D475" s="19" t="str">
        <f aca="false">IF($A475="","",IFERROR(IF(INDEX(tblKasa[Tarih],ROW($A475)-ROW(tblKasa[[#Headers],[Tarih]])+1)=0,RaporTarihi,INDEX(tblKasa[Tarih],ROW($A475)-ROW(tblKasa[[#Headers],[Tarih]])+1))-$A475,RaporTarihi-$A475))</f>
        <v/>
      </c>
      <c r="E475" s="18" t="n">
        <f aca="false">IF($C475="",0,ROUND($C475*$D475,0))</f>
        <v>0</v>
      </c>
      <c r="F475" s="22"/>
    </row>
    <row r="476" customFormat="false" ht="15" hidden="false" customHeight="false" outlineLevel="0" collapsed="false">
      <c r="A476" s="21"/>
      <c r="B476" s="22"/>
      <c r="C476" s="23"/>
      <c r="D476" s="19" t="str">
        <f aca="false">IF($A476="","",IFERROR(IF(INDEX(tblKasa[Tarih],ROW($A476)-ROW(tblKasa[[#Headers],[Tarih]])+1)=0,RaporTarihi,INDEX(tblKasa[Tarih],ROW($A476)-ROW(tblKasa[[#Headers],[Tarih]])+1))-$A476,RaporTarihi-$A476))</f>
        <v/>
      </c>
      <c r="E476" s="18" t="n">
        <f aca="false">IF($C476="",0,ROUND($C476*$D476,0))</f>
        <v>0</v>
      </c>
      <c r="F476" s="22"/>
    </row>
    <row r="477" customFormat="false" ht="15" hidden="false" customHeight="false" outlineLevel="0" collapsed="false">
      <c r="A477" s="21"/>
      <c r="B477" s="22"/>
      <c r="C477" s="23"/>
      <c r="D477" s="19" t="str">
        <f aca="false">IF($A477="","",IFERROR(IF(INDEX(tblKasa[Tarih],ROW($A477)-ROW(tblKasa[[#Headers],[Tarih]])+1)=0,RaporTarihi,INDEX(tblKasa[Tarih],ROW($A477)-ROW(tblKasa[[#Headers],[Tarih]])+1))-$A477,RaporTarihi-$A477))</f>
        <v/>
      </c>
      <c r="E477" s="18" t="n">
        <f aca="false">IF($C477="",0,ROUND($C477*$D477,0))</f>
        <v>0</v>
      </c>
      <c r="F477" s="22"/>
    </row>
    <row r="478" customFormat="false" ht="15" hidden="false" customHeight="false" outlineLevel="0" collapsed="false">
      <c r="A478" s="21"/>
      <c r="B478" s="22"/>
      <c r="C478" s="23"/>
      <c r="D478" s="19" t="str">
        <f aca="false">IF($A478="","",IFERROR(IF(INDEX(tblKasa[Tarih],ROW($A478)-ROW(tblKasa[[#Headers],[Tarih]])+1)=0,RaporTarihi,INDEX(tblKasa[Tarih],ROW($A478)-ROW(tblKasa[[#Headers],[Tarih]])+1))-$A478,RaporTarihi-$A478))</f>
        <v/>
      </c>
      <c r="E478" s="18" t="n">
        <f aca="false">IF($C478="",0,ROUND($C478*$D478,0))</f>
        <v>0</v>
      </c>
      <c r="F478" s="22"/>
    </row>
    <row r="479" customFormat="false" ht="15" hidden="false" customHeight="false" outlineLevel="0" collapsed="false">
      <c r="A479" s="21"/>
      <c r="B479" s="22"/>
      <c r="C479" s="23"/>
      <c r="D479" s="19" t="str">
        <f aca="false">IF($A479="","",IFERROR(IF(INDEX(tblKasa[Tarih],ROW($A479)-ROW(tblKasa[[#Headers],[Tarih]])+1)=0,RaporTarihi,INDEX(tblKasa[Tarih],ROW($A479)-ROW(tblKasa[[#Headers],[Tarih]])+1))-$A479,RaporTarihi-$A479))</f>
        <v/>
      </c>
      <c r="E479" s="18" t="n">
        <f aca="false">IF($C479="",0,ROUND($C479*$D479,0))</f>
        <v>0</v>
      </c>
      <c r="F479" s="22"/>
    </row>
    <row r="480" customFormat="false" ht="15" hidden="false" customHeight="false" outlineLevel="0" collapsed="false">
      <c r="A480" s="21"/>
      <c r="B480" s="22"/>
      <c r="C480" s="23"/>
      <c r="D480" s="19" t="str">
        <f aca="false">IF($A480="","",IFERROR(IF(INDEX(tblKasa[Tarih],ROW($A480)-ROW(tblKasa[[#Headers],[Tarih]])+1)=0,RaporTarihi,INDEX(tblKasa[Tarih],ROW($A480)-ROW(tblKasa[[#Headers],[Tarih]])+1))-$A480,RaporTarihi-$A480))</f>
        <v/>
      </c>
      <c r="E480" s="18" t="n">
        <f aca="false">IF($C480="",0,ROUND($C480*$D480,0))</f>
        <v>0</v>
      </c>
      <c r="F480" s="22"/>
    </row>
    <row r="481" customFormat="false" ht="15" hidden="false" customHeight="false" outlineLevel="0" collapsed="false">
      <c r="A481" s="21"/>
      <c r="B481" s="22"/>
      <c r="C481" s="23"/>
      <c r="D481" s="19" t="str">
        <f aca="false">IF($A481="","",IFERROR(IF(INDEX(tblKasa[Tarih],ROW($A481)-ROW(tblKasa[[#Headers],[Tarih]])+1)=0,RaporTarihi,INDEX(tblKasa[Tarih],ROW($A481)-ROW(tblKasa[[#Headers],[Tarih]])+1))-$A481,RaporTarihi-$A481))</f>
        <v/>
      </c>
      <c r="E481" s="18" t="n">
        <f aca="false">IF($C481="",0,ROUND($C481*$D481,0))</f>
        <v>0</v>
      </c>
      <c r="F481" s="22"/>
    </row>
    <row r="482" customFormat="false" ht="15" hidden="false" customHeight="false" outlineLevel="0" collapsed="false">
      <c r="A482" s="21"/>
      <c r="B482" s="22"/>
      <c r="C482" s="23"/>
      <c r="D482" s="19" t="str">
        <f aca="false">IF($A482="","",IFERROR(IF(INDEX(tblKasa[Tarih],ROW($A482)-ROW(tblKasa[[#Headers],[Tarih]])+1)=0,RaporTarihi,INDEX(tblKasa[Tarih],ROW($A482)-ROW(tblKasa[[#Headers],[Tarih]])+1))-$A482,RaporTarihi-$A482))</f>
        <v/>
      </c>
      <c r="E482" s="18" t="n">
        <f aca="false">IF($C482="",0,ROUND($C482*$D482,0))</f>
        <v>0</v>
      </c>
      <c r="F482" s="22"/>
    </row>
    <row r="483" customFormat="false" ht="15" hidden="false" customHeight="false" outlineLevel="0" collapsed="false">
      <c r="A483" s="21"/>
      <c r="B483" s="22"/>
      <c r="C483" s="23"/>
      <c r="D483" s="19" t="str">
        <f aca="false">IF($A483="","",IFERROR(IF(INDEX(tblKasa[Tarih],ROW($A483)-ROW(tblKasa[[#Headers],[Tarih]])+1)=0,RaporTarihi,INDEX(tblKasa[Tarih],ROW($A483)-ROW(tblKasa[[#Headers],[Tarih]])+1))-$A483,RaporTarihi-$A483))</f>
        <v/>
      </c>
      <c r="E483" s="18" t="n">
        <f aca="false">IF($C483="",0,ROUND($C483*$D483,0))</f>
        <v>0</v>
      </c>
      <c r="F483" s="22"/>
    </row>
    <row r="484" customFormat="false" ht="15" hidden="false" customHeight="false" outlineLevel="0" collapsed="false">
      <c r="A484" s="21"/>
      <c r="B484" s="22"/>
      <c r="C484" s="23"/>
      <c r="D484" s="19" t="str">
        <f aca="false">IF($A484="","",IFERROR(IF(INDEX(tblKasa[Tarih],ROW($A484)-ROW(tblKasa[[#Headers],[Tarih]])+1)=0,RaporTarihi,INDEX(tblKasa[Tarih],ROW($A484)-ROW(tblKasa[[#Headers],[Tarih]])+1))-$A484,RaporTarihi-$A484))</f>
        <v/>
      </c>
      <c r="E484" s="18" t="n">
        <f aca="false">IF($C484="",0,ROUND($C484*$D484,0))</f>
        <v>0</v>
      </c>
      <c r="F484" s="22"/>
    </row>
    <row r="485" customFormat="false" ht="15" hidden="false" customHeight="false" outlineLevel="0" collapsed="false">
      <c r="A485" s="21"/>
      <c r="B485" s="22"/>
      <c r="C485" s="23"/>
      <c r="D485" s="19" t="str">
        <f aca="false">IF($A485="","",IFERROR(IF(INDEX(tblKasa[Tarih],ROW($A485)-ROW(tblKasa[[#Headers],[Tarih]])+1)=0,RaporTarihi,INDEX(tblKasa[Tarih],ROW($A485)-ROW(tblKasa[[#Headers],[Tarih]])+1))-$A485,RaporTarihi-$A485))</f>
        <v/>
      </c>
      <c r="E485" s="18" t="n">
        <f aca="false">IF($C485="",0,ROUND($C485*$D485,0))</f>
        <v>0</v>
      </c>
      <c r="F485" s="22"/>
    </row>
    <row r="486" customFormat="false" ht="15" hidden="false" customHeight="false" outlineLevel="0" collapsed="false">
      <c r="A486" s="21"/>
      <c r="B486" s="22"/>
      <c r="C486" s="23"/>
      <c r="D486" s="19" t="str">
        <f aca="false">IF($A486="","",IFERROR(IF(INDEX(tblKasa[Tarih],ROW($A486)-ROW(tblKasa[[#Headers],[Tarih]])+1)=0,RaporTarihi,INDEX(tblKasa[Tarih],ROW($A486)-ROW(tblKasa[[#Headers],[Tarih]])+1))-$A486,RaporTarihi-$A486))</f>
        <v/>
      </c>
      <c r="E486" s="18" t="n">
        <f aca="false">IF($C486="",0,ROUND($C486*$D486,0))</f>
        <v>0</v>
      </c>
      <c r="F486" s="22"/>
    </row>
    <row r="487" customFormat="false" ht="15" hidden="false" customHeight="false" outlineLevel="0" collapsed="false">
      <c r="A487" s="21"/>
      <c r="B487" s="22"/>
      <c r="C487" s="23"/>
      <c r="D487" s="19" t="str">
        <f aca="false">IF($A487="","",IFERROR(IF(INDEX(tblKasa[Tarih],ROW($A487)-ROW(tblKasa[[#Headers],[Tarih]])+1)=0,RaporTarihi,INDEX(tblKasa[Tarih],ROW($A487)-ROW(tblKasa[[#Headers],[Tarih]])+1))-$A487,RaporTarihi-$A487))</f>
        <v/>
      </c>
      <c r="E487" s="18" t="n">
        <f aca="false">IF($C487="",0,ROUND($C487*$D487,0))</f>
        <v>0</v>
      </c>
      <c r="F487" s="22"/>
    </row>
    <row r="488" customFormat="false" ht="15" hidden="false" customHeight="false" outlineLevel="0" collapsed="false">
      <c r="A488" s="21"/>
      <c r="B488" s="22"/>
      <c r="C488" s="23"/>
      <c r="D488" s="19" t="str">
        <f aca="false">IF($A488="","",IFERROR(IF(INDEX(tblKasa[Tarih],ROW($A488)-ROW(tblKasa[[#Headers],[Tarih]])+1)=0,RaporTarihi,INDEX(tblKasa[Tarih],ROW($A488)-ROW(tblKasa[[#Headers],[Tarih]])+1))-$A488,RaporTarihi-$A488))</f>
        <v/>
      </c>
      <c r="E488" s="18" t="n">
        <f aca="false">IF($C488="",0,ROUND($C488*$D488,0))</f>
        <v>0</v>
      </c>
      <c r="F488" s="22"/>
    </row>
    <row r="489" customFormat="false" ht="15" hidden="false" customHeight="false" outlineLevel="0" collapsed="false">
      <c r="A489" s="21"/>
      <c r="B489" s="22"/>
      <c r="C489" s="23"/>
      <c r="D489" s="19" t="str">
        <f aca="false">IF($A489="","",IFERROR(IF(INDEX(tblKasa[Tarih],ROW($A489)-ROW(tblKasa[[#Headers],[Tarih]])+1)=0,RaporTarihi,INDEX(tblKasa[Tarih],ROW($A489)-ROW(tblKasa[[#Headers],[Tarih]])+1))-$A489,RaporTarihi-$A489))</f>
        <v/>
      </c>
      <c r="E489" s="18" t="n">
        <f aca="false">IF($C489="",0,ROUND($C489*$D489,0))</f>
        <v>0</v>
      </c>
      <c r="F489" s="22"/>
    </row>
    <row r="490" customFormat="false" ht="15" hidden="false" customHeight="false" outlineLevel="0" collapsed="false">
      <c r="A490" s="21"/>
      <c r="B490" s="22"/>
      <c r="C490" s="23"/>
      <c r="D490" s="19" t="str">
        <f aca="false">IF($A490="","",IFERROR(IF(INDEX(tblKasa[Tarih],ROW($A490)-ROW(tblKasa[[#Headers],[Tarih]])+1)=0,RaporTarihi,INDEX(tblKasa[Tarih],ROW($A490)-ROW(tblKasa[[#Headers],[Tarih]])+1))-$A490,RaporTarihi-$A490))</f>
        <v/>
      </c>
      <c r="E490" s="18" t="n">
        <f aca="false">IF($C490="",0,ROUND($C490*$D490,0))</f>
        <v>0</v>
      </c>
      <c r="F490" s="22"/>
    </row>
    <row r="491" customFormat="false" ht="15" hidden="false" customHeight="false" outlineLevel="0" collapsed="false">
      <c r="A491" s="21"/>
      <c r="B491" s="22"/>
      <c r="C491" s="23"/>
      <c r="D491" s="19" t="str">
        <f aca="false">IF($A491="","",IFERROR(IF(INDEX(tblKasa[Tarih],ROW($A491)-ROW(tblKasa[[#Headers],[Tarih]])+1)=0,RaporTarihi,INDEX(tblKasa[Tarih],ROW($A491)-ROW(tblKasa[[#Headers],[Tarih]])+1))-$A491,RaporTarihi-$A491))</f>
        <v/>
      </c>
      <c r="E491" s="18" t="n">
        <f aca="false">IF($C491="",0,ROUND($C491*$D491,0))</f>
        <v>0</v>
      </c>
      <c r="F491" s="22"/>
    </row>
    <row r="492" customFormat="false" ht="15" hidden="false" customHeight="false" outlineLevel="0" collapsed="false">
      <c r="A492" s="21"/>
      <c r="B492" s="22"/>
      <c r="C492" s="23"/>
      <c r="D492" s="19" t="str">
        <f aca="false">IF($A492="","",IFERROR(IF(INDEX(tblKasa[Tarih],ROW($A492)-ROW(tblKasa[[#Headers],[Tarih]])+1)=0,RaporTarihi,INDEX(tblKasa[Tarih],ROW($A492)-ROW(tblKasa[[#Headers],[Tarih]])+1))-$A492,RaporTarihi-$A492))</f>
        <v/>
      </c>
      <c r="E492" s="18" t="n">
        <f aca="false">IF($C492="",0,ROUND($C492*$D492,0))</f>
        <v>0</v>
      </c>
      <c r="F492" s="22"/>
    </row>
    <row r="493" customFormat="false" ht="15" hidden="false" customHeight="false" outlineLevel="0" collapsed="false">
      <c r="A493" s="21"/>
      <c r="B493" s="22"/>
      <c r="C493" s="23"/>
      <c r="D493" s="19" t="str">
        <f aca="false">IF($A493="","",IFERROR(IF(INDEX(tblKasa[Tarih],ROW($A493)-ROW(tblKasa[[#Headers],[Tarih]])+1)=0,RaporTarihi,INDEX(tblKasa[Tarih],ROW($A493)-ROW(tblKasa[[#Headers],[Tarih]])+1))-$A493,RaporTarihi-$A493))</f>
        <v/>
      </c>
      <c r="E493" s="18" t="n">
        <f aca="false">IF($C493="",0,ROUND($C493*$D493,0))</f>
        <v>0</v>
      </c>
      <c r="F493" s="22"/>
    </row>
    <row r="494" customFormat="false" ht="15" hidden="false" customHeight="false" outlineLevel="0" collapsed="false">
      <c r="A494" s="21"/>
      <c r="B494" s="22"/>
      <c r="C494" s="23"/>
      <c r="D494" s="19" t="str">
        <f aca="false">IF($A494="","",IFERROR(IF(INDEX(tblKasa[Tarih],ROW($A494)-ROW(tblKasa[[#Headers],[Tarih]])+1)=0,RaporTarihi,INDEX(tblKasa[Tarih],ROW($A494)-ROW(tblKasa[[#Headers],[Tarih]])+1))-$A494,RaporTarihi-$A494))</f>
        <v/>
      </c>
      <c r="E494" s="18" t="n">
        <f aca="false">IF($C494="",0,ROUND($C494*$D494,0))</f>
        <v>0</v>
      </c>
      <c r="F494" s="22"/>
    </row>
    <row r="495" customFormat="false" ht="15" hidden="false" customHeight="false" outlineLevel="0" collapsed="false">
      <c r="A495" s="21"/>
      <c r="B495" s="22"/>
      <c r="C495" s="23"/>
      <c r="D495" s="19" t="str">
        <f aca="false">IF($A495="","",IFERROR(IF(INDEX(tblKasa[Tarih],ROW($A495)-ROW(tblKasa[[#Headers],[Tarih]])+1)=0,RaporTarihi,INDEX(tblKasa[Tarih],ROW($A495)-ROW(tblKasa[[#Headers],[Tarih]])+1))-$A495,RaporTarihi-$A495))</f>
        <v/>
      </c>
      <c r="E495" s="18" t="n">
        <f aca="false">IF($C495="",0,ROUND($C495*$D495,0))</f>
        <v>0</v>
      </c>
      <c r="F495" s="22"/>
    </row>
    <row r="496" customFormat="false" ht="15" hidden="false" customHeight="false" outlineLevel="0" collapsed="false">
      <c r="A496" s="21"/>
      <c r="B496" s="22"/>
      <c r="C496" s="23"/>
      <c r="D496" s="19" t="str">
        <f aca="false">IF($A496="","",IFERROR(IF(INDEX(tblKasa[Tarih],ROW($A496)-ROW(tblKasa[[#Headers],[Tarih]])+1)=0,RaporTarihi,INDEX(tblKasa[Tarih],ROW($A496)-ROW(tblKasa[[#Headers],[Tarih]])+1))-$A496,RaporTarihi-$A496))</f>
        <v/>
      </c>
      <c r="E496" s="18" t="n">
        <f aca="false">IF($C496="",0,ROUND($C496*$D496,0))</f>
        <v>0</v>
      </c>
      <c r="F496" s="22"/>
    </row>
    <row r="497" customFormat="false" ht="15" hidden="false" customHeight="false" outlineLevel="0" collapsed="false">
      <c r="A497" s="21"/>
      <c r="B497" s="22"/>
      <c r="C497" s="23"/>
      <c r="D497" s="19" t="str">
        <f aca="false">IF($A497="","",IFERROR(IF(INDEX(tblKasa[Tarih],ROW($A497)-ROW(tblKasa[[#Headers],[Tarih]])+1)=0,RaporTarihi,INDEX(tblKasa[Tarih],ROW($A497)-ROW(tblKasa[[#Headers],[Tarih]])+1))-$A497,RaporTarihi-$A497))</f>
        <v/>
      </c>
      <c r="E497" s="18" t="n">
        <f aca="false">IF($C497="",0,ROUND($C497*$D497,0))</f>
        <v>0</v>
      </c>
      <c r="F497" s="22"/>
    </row>
    <row r="498" customFormat="false" ht="15" hidden="false" customHeight="false" outlineLevel="0" collapsed="false">
      <c r="A498" s="21"/>
      <c r="B498" s="22"/>
      <c r="C498" s="23"/>
      <c r="D498" s="19" t="str">
        <f aca="false">IF($A498="","",IFERROR(IF(INDEX(tblKasa[Tarih],ROW($A498)-ROW(tblKasa[[#Headers],[Tarih]])+1)=0,RaporTarihi,INDEX(tblKasa[Tarih],ROW($A498)-ROW(tblKasa[[#Headers],[Tarih]])+1))-$A498,RaporTarihi-$A498))</f>
        <v/>
      </c>
      <c r="E498" s="18" t="n">
        <f aca="false">IF($C498="",0,ROUND($C498*$D498,0))</f>
        <v>0</v>
      </c>
      <c r="F498" s="22"/>
    </row>
    <row r="499" customFormat="false" ht="15" hidden="false" customHeight="false" outlineLevel="0" collapsed="false">
      <c r="A499" s="21"/>
      <c r="B499" s="22"/>
      <c r="C499" s="23"/>
      <c r="D499" s="19" t="str">
        <f aca="false">IF($A499="","",IFERROR(IF(INDEX(tblKasa[Tarih],ROW($A499)-ROW(tblKasa[[#Headers],[Tarih]])+1)=0,RaporTarihi,INDEX(tblKasa[Tarih],ROW($A499)-ROW(tblKasa[[#Headers],[Tarih]])+1))-$A499,RaporTarihi-$A499))</f>
        <v/>
      </c>
      <c r="E499" s="18" t="n">
        <f aca="false">IF($C499="",0,ROUND($C499*$D499,0))</f>
        <v>0</v>
      </c>
      <c r="F499" s="22"/>
    </row>
    <row r="500" customFormat="false" ht="15" hidden="false" customHeight="false" outlineLevel="0" collapsed="false">
      <c r="A500" s="21"/>
      <c r="B500" s="22"/>
      <c r="C500" s="23"/>
      <c r="D500" s="19" t="str">
        <f aca="false">IF($A500="","",IFERROR(IF(INDEX(tblKasa[Tarih],ROW($A500)-ROW(tblKasa[[#Headers],[Tarih]])+1)=0,RaporTarihi,INDEX(tblKasa[Tarih],ROW($A500)-ROW(tblKasa[[#Headers],[Tarih]])+1))-$A500,RaporTarihi-$A500))</f>
        <v/>
      </c>
      <c r="E500" s="18" t="n">
        <f aca="false">IF($C500="",0,ROUND($C500*$D500,0))</f>
        <v>0</v>
      </c>
      <c r="F500" s="22"/>
    </row>
    <row r="501" customFormat="false" ht="15" hidden="false" customHeight="false" outlineLevel="0" collapsed="false">
      <c r="A501" s="21"/>
      <c r="B501" s="22"/>
      <c r="C501" s="23"/>
      <c r="D501" s="19" t="str">
        <f aca="false">IF($A501="","",IFERROR(IF(INDEX(tblKasa[Tarih],ROW($A501)-ROW(tblKasa[[#Headers],[Tarih]])+1)=0,RaporTarihi,INDEX(tblKasa[Tarih],ROW($A501)-ROW(tblKasa[[#Headers],[Tarih]])+1))-$A501,RaporTarihi-$A501))</f>
        <v/>
      </c>
      <c r="E501" s="18" t="n">
        <f aca="false">IF($C501="",0,ROUND($C501*$D501,0))</f>
        <v>0</v>
      </c>
      <c r="F501" s="22"/>
    </row>
    <row r="502" customFormat="false" ht="15" hidden="false" customHeight="false" outlineLevel="0" collapsed="false">
      <c r="A502" s="21"/>
      <c r="B502" s="22"/>
      <c r="C502" s="23"/>
      <c r="D502" s="19" t="str">
        <f aca="false">IF($A502="","",IFERROR(IF(INDEX(tblKasa[Tarih],ROW($A502)-ROW(tblKasa[[#Headers],[Tarih]])+1)=0,RaporTarihi,INDEX(tblKasa[Tarih],ROW($A502)-ROW(tblKasa[[#Headers],[Tarih]])+1))-$A502,RaporTarihi-$A502))</f>
        <v/>
      </c>
      <c r="E502" s="18" t="n">
        <f aca="false">IF($C502="",0,ROUND($C502*$D502,0))</f>
        <v>0</v>
      </c>
      <c r="F502" s="22"/>
    </row>
    <row r="503" customFormat="false" ht="15" hidden="false" customHeight="false" outlineLevel="0" collapsed="false">
      <c r="A503" s="21"/>
      <c r="B503" s="22"/>
      <c r="C503" s="23"/>
      <c r="D503" s="19" t="str">
        <f aca="false">IF($A503="","",IFERROR(IF(INDEX(tblKasa[Tarih],ROW($A503)-ROW(tblKasa[[#Headers],[Tarih]])+1)=0,RaporTarihi,INDEX(tblKasa[Tarih],ROW($A503)-ROW(tblKasa[[#Headers],[Tarih]])+1))-$A503,RaporTarihi-$A503))</f>
        <v/>
      </c>
      <c r="E503" s="18" t="n">
        <f aca="false">IF($C503="",0,ROUND($C503*$D503,0))</f>
        <v>0</v>
      </c>
      <c r="F503" s="22"/>
    </row>
    <row r="504" customFormat="false" ht="15" hidden="false" customHeight="false" outlineLevel="0" collapsed="false">
      <c r="A504" s="21"/>
      <c r="B504" s="22"/>
      <c r="C504" s="23"/>
      <c r="D504" s="19" t="str">
        <f aca="false">IF($A504="","",IFERROR(IF(INDEX(tblKasa[Tarih],ROW($A504)-ROW(tblKasa[[#Headers],[Tarih]])+1)=0,RaporTarihi,INDEX(tblKasa[Tarih],ROW($A504)-ROW(tblKasa[[#Headers],[Tarih]])+1))-$A504,RaporTarihi-$A504))</f>
        <v/>
      </c>
      <c r="E504" s="18" t="n">
        <f aca="false">IF($C504="",0,ROUND($C504*$D504,0))</f>
        <v>0</v>
      </c>
      <c r="F504" s="22"/>
    </row>
    <row r="505" customFormat="false" ht="15" hidden="false" customHeight="false" outlineLevel="0" collapsed="false">
      <c r="A505" s="21"/>
      <c r="B505" s="22"/>
      <c r="C505" s="23"/>
      <c r="D505" s="19" t="str">
        <f aca="false">IF($A505="","",IFERROR(IF(INDEX(tblKasa[Tarih],ROW($A505)-ROW(tblKasa[[#Headers],[Tarih]])+1)=0,RaporTarihi,INDEX(tblKasa[Tarih],ROW($A505)-ROW(tblKasa[[#Headers],[Tarih]])+1))-$A505,RaporTarihi-$A505))</f>
        <v/>
      </c>
      <c r="E505" s="18" t="n">
        <f aca="false">IF($C505="",0,ROUND($C505*$D505,0))</f>
        <v>0</v>
      </c>
      <c r="F505" s="22"/>
    </row>
    <row r="506" customFormat="false" ht="15" hidden="false" customHeight="false" outlineLevel="0" collapsed="false">
      <c r="A506" s="21"/>
      <c r="B506" s="22"/>
      <c r="C506" s="23"/>
      <c r="D506" s="19" t="str">
        <f aca="false">IF($A506="","",IFERROR(IF(INDEX(tblKasa[Tarih],ROW($A506)-ROW(tblKasa[[#Headers],[Tarih]])+1)=0,RaporTarihi,INDEX(tblKasa[Tarih],ROW($A506)-ROW(tblKasa[[#Headers],[Tarih]])+1))-$A506,RaporTarihi-$A506))</f>
        <v/>
      </c>
      <c r="E506" s="18" t="n">
        <f aca="false">IF($C506="",0,ROUND($C506*$D506,0))</f>
        <v>0</v>
      </c>
      <c r="F506" s="22"/>
    </row>
    <row r="507" customFormat="false" ht="15" hidden="false" customHeight="false" outlineLevel="0" collapsed="false">
      <c r="A507" s="21"/>
      <c r="B507" s="22"/>
      <c r="C507" s="23"/>
      <c r="D507" s="19" t="str">
        <f aca="false">IF($A507="","",IFERROR(IF(INDEX(tblKasa[Tarih],ROW($A507)-ROW(tblKasa[[#Headers],[Tarih]])+1)=0,RaporTarihi,INDEX(tblKasa[Tarih],ROW($A507)-ROW(tblKasa[[#Headers],[Tarih]])+1))-$A507,RaporTarihi-$A507))</f>
        <v/>
      </c>
      <c r="E507" s="18" t="n">
        <f aca="false">IF($C507="",0,ROUND($C507*$D507,0))</f>
        <v>0</v>
      </c>
      <c r="F507" s="22"/>
    </row>
    <row r="508" customFormat="false" ht="15" hidden="false" customHeight="false" outlineLevel="0" collapsed="false">
      <c r="A508" s="21"/>
      <c r="B508" s="22"/>
      <c r="C508" s="23"/>
      <c r="D508" s="19" t="str">
        <f aca="false">IF($A508="","",IFERROR(IF(INDEX(tblKasa[Tarih],ROW($A508)-ROW(tblKasa[[#Headers],[Tarih]])+1)=0,RaporTarihi,INDEX(tblKasa[Tarih],ROW($A508)-ROW(tblKasa[[#Headers],[Tarih]])+1))-$A508,RaporTarihi-$A508))</f>
        <v/>
      </c>
      <c r="E508" s="18" t="n">
        <f aca="false">IF($C508="",0,ROUND($C508*$D508,0))</f>
        <v>0</v>
      </c>
      <c r="F508" s="22"/>
    </row>
    <row r="509" customFormat="false" ht="15" hidden="false" customHeight="false" outlineLevel="0" collapsed="false">
      <c r="A509" s="21"/>
      <c r="B509" s="22"/>
      <c r="C509" s="23"/>
      <c r="D509" s="19" t="str">
        <f aca="false">IF($A509="","",IFERROR(IF(INDEX(tblKasa[Tarih],ROW($A509)-ROW(tblKasa[[#Headers],[Tarih]])+1)=0,RaporTarihi,INDEX(tblKasa[Tarih],ROW($A509)-ROW(tblKasa[[#Headers],[Tarih]])+1))-$A509,RaporTarihi-$A509))</f>
        <v/>
      </c>
      <c r="E509" s="18" t="n">
        <f aca="false">IF($C509="",0,ROUND($C509*$D509,0))</f>
        <v>0</v>
      </c>
      <c r="F509" s="22"/>
    </row>
    <row r="510" customFormat="false" ht="15" hidden="false" customHeight="false" outlineLevel="0" collapsed="false">
      <c r="A510" s="21"/>
      <c r="B510" s="22"/>
      <c r="C510" s="23"/>
      <c r="D510" s="19" t="str">
        <f aca="false">IF($A510="","",IFERROR(IF(INDEX(tblKasa[Tarih],ROW($A510)-ROW(tblKasa[[#Headers],[Tarih]])+1)=0,RaporTarihi,INDEX(tblKasa[Tarih],ROW($A510)-ROW(tblKasa[[#Headers],[Tarih]])+1))-$A510,RaporTarihi-$A510))</f>
        <v/>
      </c>
      <c r="E510" s="18" t="n">
        <f aca="false">IF($C510="",0,ROUND($C510*$D510,0))</f>
        <v>0</v>
      </c>
      <c r="F510" s="22"/>
    </row>
    <row r="511" customFormat="false" ht="15" hidden="false" customHeight="false" outlineLevel="0" collapsed="false">
      <c r="A511" s="21"/>
      <c r="B511" s="22"/>
      <c r="C511" s="23"/>
      <c r="D511" s="19" t="str">
        <f aca="false">IF($A511="","",IFERROR(IF(INDEX(tblKasa[Tarih],ROW($A511)-ROW(tblKasa[[#Headers],[Tarih]])+1)=0,RaporTarihi,INDEX(tblKasa[Tarih],ROW($A511)-ROW(tblKasa[[#Headers],[Tarih]])+1))-$A511,RaporTarihi-$A511))</f>
        <v/>
      </c>
      <c r="E511" s="18" t="n">
        <f aca="false">IF($C511="",0,ROUND($C511*$D511,0))</f>
        <v>0</v>
      </c>
      <c r="F511" s="22"/>
    </row>
    <row r="512" customFormat="false" ht="15" hidden="false" customHeight="false" outlineLevel="0" collapsed="false">
      <c r="A512" s="21"/>
      <c r="B512" s="22"/>
      <c r="C512" s="23"/>
      <c r="D512" s="19" t="str">
        <f aca="false">IF($A512="","",IFERROR(IF(INDEX(tblKasa[Tarih],ROW($A512)-ROW(tblKasa[[#Headers],[Tarih]])+1)=0,RaporTarihi,INDEX(tblKasa[Tarih],ROW($A512)-ROW(tblKasa[[#Headers],[Tarih]])+1))-$A512,RaporTarihi-$A512))</f>
        <v/>
      </c>
      <c r="E512" s="18" t="n">
        <f aca="false">IF($C512="",0,ROUND($C512*$D512,0))</f>
        <v>0</v>
      </c>
      <c r="F512" s="22"/>
    </row>
    <row r="513" customFormat="false" ht="15" hidden="false" customHeight="false" outlineLevel="0" collapsed="false">
      <c r="A513" s="21"/>
      <c r="B513" s="22"/>
      <c r="C513" s="23"/>
      <c r="D513" s="19" t="str">
        <f aca="false">IF($A513="","",IFERROR(IF(INDEX(tblKasa[Tarih],ROW($A513)-ROW(tblKasa[[#Headers],[Tarih]])+1)=0,RaporTarihi,INDEX(tblKasa[Tarih],ROW($A513)-ROW(tblKasa[[#Headers],[Tarih]])+1))-$A513,RaporTarihi-$A513))</f>
        <v/>
      </c>
      <c r="E513" s="18" t="n">
        <f aca="false">IF($C513="",0,ROUND($C513*$D513,0))</f>
        <v>0</v>
      </c>
      <c r="F513" s="22"/>
    </row>
    <row r="514" customFormat="false" ht="15" hidden="false" customHeight="false" outlineLevel="0" collapsed="false">
      <c r="A514" s="21"/>
      <c r="B514" s="22"/>
      <c r="C514" s="23"/>
      <c r="D514" s="19" t="str">
        <f aca="false">IF($A514="","",IFERROR(IF(INDEX(tblKasa[Tarih],ROW($A514)-ROW(tblKasa[[#Headers],[Tarih]])+1)=0,RaporTarihi,INDEX(tblKasa[Tarih],ROW($A514)-ROW(tblKasa[[#Headers],[Tarih]])+1))-$A514,RaporTarihi-$A514))</f>
        <v/>
      </c>
      <c r="E514" s="18" t="n">
        <f aca="false">IF($C514="",0,ROUND($C514*$D514,0))</f>
        <v>0</v>
      </c>
      <c r="F514" s="22"/>
    </row>
    <row r="515" customFormat="false" ht="15" hidden="false" customHeight="false" outlineLevel="0" collapsed="false">
      <c r="A515" s="21"/>
      <c r="B515" s="22"/>
      <c r="C515" s="23"/>
      <c r="D515" s="19" t="str">
        <f aca="false">IF($A515="","",IFERROR(IF(INDEX(tblKasa[Tarih],ROW($A515)-ROW(tblKasa[[#Headers],[Tarih]])+1)=0,RaporTarihi,INDEX(tblKasa[Tarih],ROW($A515)-ROW(tblKasa[[#Headers],[Tarih]])+1))-$A515,RaporTarihi-$A515))</f>
        <v/>
      </c>
      <c r="E515" s="18" t="n">
        <f aca="false">IF($C515="",0,ROUND($C515*$D515,0))</f>
        <v>0</v>
      </c>
      <c r="F515" s="22"/>
    </row>
    <row r="516" customFormat="false" ht="15" hidden="false" customHeight="false" outlineLevel="0" collapsed="false">
      <c r="A516" s="21"/>
      <c r="B516" s="22"/>
      <c r="C516" s="23"/>
      <c r="D516" s="19" t="str">
        <f aca="false">IF($A516="","",IFERROR(IF(INDEX(tblKasa[Tarih],ROW($A516)-ROW(tblKasa[[#Headers],[Tarih]])+1)=0,RaporTarihi,INDEX(tblKasa[Tarih],ROW($A516)-ROW(tblKasa[[#Headers],[Tarih]])+1))-$A516,RaporTarihi-$A516))</f>
        <v/>
      </c>
      <c r="E516" s="18" t="n">
        <f aca="false">IF($C516="",0,ROUND($C516*$D516,0))</f>
        <v>0</v>
      </c>
      <c r="F516" s="22"/>
    </row>
    <row r="517" customFormat="false" ht="15" hidden="false" customHeight="false" outlineLevel="0" collapsed="false">
      <c r="A517" s="21"/>
      <c r="B517" s="22"/>
      <c r="C517" s="23"/>
      <c r="D517" s="19" t="str">
        <f aca="false">IF($A517="","",IFERROR(IF(INDEX(tblKasa[Tarih],ROW($A517)-ROW(tblKasa[[#Headers],[Tarih]])+1)=0,RaporTarihi,INDEX(tblKasa[Tarih],ROW($A517)-ROW(tblKasa[[#Headers],[Tarih]])+1))-$A517,RaporTarihi-$A517))</f>
        <v/>
      </c>
      <c r="E517" s="18" t="n">
        <f aca="false">IF($C517="",0,ROUND($C517*$D517,0))</f>
        <v>0</v>
      </c>
      <c r="F517" s="22"/>
    </row>
    <row r="518" customFormat="false" ht="15" hidden="false" customHeight="false" outlineLevel="0" collapsed="false">
      <c r="A518" s="21"/>
      <c r="B518" s="22"/>
      <c r="C518" s="23"/>
      <c r="D518" s="19" t="str">
        <f aca="false">IF($A518="","",IFERROR(IF(INDEX(tblKasa[Tarih],ROW($A518)-ROW(tblKasa[[#Headers],[Tarih]])+1)=0,RaporTarihi,INDEX(tblKasa[Tarih],ROW($A518)-ROW(tblKasa[[#Headers],[Tarih]])+1))-$A518,RaporTarihi-$A518))</f>
        <v/>
      </c>
      <c r="E518" s="18" t="n">
        <f aca="false">IF($C518="",0,ROUND($C518*$D518,0))</f>
        <v>0</v>
      </c>
      <c r="F518" s="22"/>
    </row>
    <row r="519" customFormat="false" ht="15" hidden="false" customHeight="false" outlineLevel="0" collapsed="false">
      <c r="A519" s="21"/>
      <c r="B519" s="22"/>
      <c r="C519" s="23"/>
      <c r="D519" s="19" t="str">
        <f aca="false">IF($A519="","",IFERROR(IF(INDEX(tblKasa[Tarih],ROW($A519)-ROW(tblKasa[[#Headers],[Tarih]])+1)=0,RaporTarihi,INDEX(tblKasa[Tarih],ROW($A519)-ROW(tblKasa[[#Headers],[Tarih]])+1))-$A519,RaporTarihi-$A519))</f>
        <v/>
      </c>
      <c r="E519" s="18" t="n">
        <f aca="false">IF($C519="",0,ROUND($C519*$D519,0))</f>
        <v>0</v>
      </c>
      <c r="F519" s="22"/>
    </row>
    <row r="520" customFormat="false" ht="15" hidden="false" customHeight="false" outlineLevel="0" collapsed="false">
      <c r="A520" s="21"/>
      <c r="B520" s="22"/>
      <c r="C520" s="23"/>
      <c r="D520" s="19" t="str">
        <f aca="false">IF($A520="","",IFERROR(IF(INDEX(tblKasa[Tarih],ROW($A520)-ROW(tblKasa[[#Headers],[Tarih]])+1)=0,RaporTarihi,INDEX(tblKasa[Tarih],ROW($A520)-ROW(tblKasa[[#Headers],[Tarih]])+1))-$A520,RaporTarihi-$A520))</f>
        <v/>
      </c>
      <c r="E520" s="18" t="n">
        <f aca="false">IF($C520="",0,ROUND($C520*$D520,0))</f>
        <v>0</v>
      </c>
      <c r="F520" s="22"/>
    </row>
    <row r="521" customFormat="false" ht="15" hidden="false" customHeight="false" outlineLevel="0" collapsed="false">
      <c r="A521" s="21"/>
      <c r="B521" s="22"/>
      <c r="C521" s="23"/>
      <c r="D521" s="19" t="str">
        <f aca="false">IF($A521="","",IFERROR(IF(INDEX(tblKasa[Tarih],ROW($A521)-ROW(tblKasa[[#Headers],[Tarih]])+1)=0,RaporTarihi,INDEX(tblKasa[Tarih],ROW($A521)-ROW(tblKasa[[#Headers],[Tarih]])+1))-$A521,RaporTarihi-$A521))</f>
        <v/>
      </c>
      <c r="E521" s="18" t="n">
        <f aca="false">IF($C521="",0,ROUND($C521*$D521,0))</f>
        <v>0</v>
      </c>
      <c r="F521" s="22"/>
    </row>
    <row r="522" customFormat="false" ht="15" hidden="false" customHeight="false" outlineLevel="0" collapsed="false">
      <c r="A522" s="21"/>
      <c r="B522" s="22"/>
      <c r="C522" s="23"/>
      <c r="D522" s="19" t="str">
        <f aca="false">IF($A522="","",IFERROR(IF(INDEX(tblKasa[Tarih],ROW($A522)-ROW(tblKasa[[#Headers],[Tarih]])+1)=0,RaporTarihi,INDEX(tblKasa[Tarih],ROW($A522)-ROW(tblKasa[[#Headers],[Tarih]])+1))-$A522,RaporTarihi-$A522))</f>
        <v/>
      </c>
      <c r="E522" s="18" t="n">
        <f aca="false">IF($C522="",0,ROUND($C522*$D522,0))</f>
        <v>0</v>
      </c>
      <c r="F522" s="22"/>
    </row>
    <row r="523" customFormat="false" ht="15" hidden="false" customHeight="false" outlineLevel="0" collapsed="false">
      <c r="A523" s="21"/>
      <c r="B523" s="22"/>
      <c r="C523" s="23"/>
      <c r="D523" s="19" t="str">
        <f aca="false">IF($A523="","",IFERROR(IF(INDEX(tblKasa[Tarih],ROW($A523)-ROW(tblKasa[[#Headers],[Tarih]])+1)=0,RaporTarihi,INDEX(tblKasa[Tarih],ROW($A523)-ROW(tblKasa[[#Headers],[Tarih]])+1))-$A523,RaporTarihi-$A523))</f>
        <v/>
      </c>
      <c r="E523" s="18" t="n">
        <f aca="false">IF($C523="",0,ROUND($C523*$D523,0))</f>
        <v>0</v>
      </c>
      <c r="F523" s="22"/>
    </row>
    <row r="524" customFormat="false" ht="15" hidden="false" customHeight="false" outlineLevel="0" collapsed="false">
      <c r="A524" s="21"/>
      <c r="B524" s="22"/>
      <c r="C524" s="23"/>
      <c r="D524" s="19" t="str">
        <f aca="false">IF($A524="","",IFERROR(IF(INDEX(tblKasa[Tarih],ROW($A524)-ROW(tblKasa[[#Headers],[Tarih]])+1)=0,RaporTarihi,INDEX(tblKasa[Tarih],ROW($A524)-ROW(tblKasa[[#Headers],[Tarih]])+1))-$A524,RaporTarihi-$A524))</f>
        <v/>
      </c>
      <c r="E524" s="18" t="n">
        <f aca="false">IF($C524="",0,ROUND($C524*$D524,0))</f>
        <v>0</v>
      </c>
      <c r="F524" s="22"/>
    </row>
    <row r="525" customFormat="false" ht="15" hidden="false" customHeight="false" outlineLevel="0" collapsed="false">
      <c r="A525" s="21"/>
      <c r="B525" s="22"/>
      <c r="C525" s="23"/>
      <c r="D525" s="19" t="str">
        <f aca="false">IF($A525="","",IFERROR(IF(INDEX(tblKasa[Tarih],ROW($A525)-ROW(tblKasa[[#Headers],[Tarih]])+1)=0,RaporTarihi,INDEX(tblKasa[Tarih],ROW($A525)-ROW(tblKasa[[#Headers],[Tarih]])+1))-$A525,RaporTarihi-$A525))</f>
        <v/>
      </c>
      <c r="E525" s="18" t="n">
        <f aca="false">IF($C525="",0,ROUND($C525*$D525,0))</f>
        <v>0</v>
      </c>
      <c r="F525" s="22"/>
    </row>
    <row r="526" customFormat="false" ht="15" hidden="false" customHeight="false" outlineLevel="0" collapsed="false">
      <c r="A526" s="21"/>
      <c r="B526" s="22"/>
      <c r="C526" s="23"/>
      <c r="D526" s="19" t="str">
        <f aca="false">IF($A526="","",IFERROR(IF(INDEX(tblKasa[Tarih],ROW($A526)-ROW(tblKasa[[#Headers],[Tarih]])+1)=0,RaporTarihi,INDEX(tblKasa[Tarih],ROW($A526)-ROW(tblKasa[[#Headers],[Tarih]])+1))-$A526,RaporTarihi-$A526))</f>
        <v/>
      </c>
      <c r="E526" s="18" t="n">
        <f aca="false">IF($C526="",0,ROUND($C526*$D526,0))</f>
        <v>0</v>
      </c>
      <c r="F526" s="22"/>
    </row>
    <row r="527" customFormat="false" ht="15" hidden="false" customHeight="false" outlineLevel="0" collapsed="false">
      <c r="A527" s="21"/>
      <c r="B527" s="22"/>
      <c r="C527" s="23"/>
      <c r="D527" s="19" t="str">
        <f aca="false">IF($A527="","",IFERROR(IF(INDEX(tblKasa[Tarih],ROW($A527)-ROW(tblKasa[[#Headers],[Tarih]])+1)=0,RaporTarihi,INDEX(tblKasa[Tarih],ROW($A527)-ROW(tblKasa[[#Headers],[Tarih]])+1))-$A527,RaporTarihi-$A527))</f>
        <v/>
      </c>
      <c r="E527" s="18" t="n">
        <f aca="false">IF($C527="",0,ROUND($C527*$D527,0))</f>
        <v>0</v>
      </c>
      <c r="F527" s="22"/>
    </row>
    <row r="528" customFormat="false" ht="15" hidden="false" customHeight="false" outlineLevel="0" collapsed="false">
      <c r="A528" s="21"/>
      <c r="B528" s="22"/>
      <c r="C528" s="23"/>
      <c r="D528" s="19" t="str">
        <f aca="false">IF($A528="","",IFERROR(IF(INDEX(tblKasa[Tarih],ROW($A528)-ROW(tblKasa[[#Headers],[Tarih]])+1)=0,RaporTarihi,INDEX(tblKasa[Tarih],ROW($A528)-ROW(tblKasa[[#Headers],[Tarih]])+1))-$A528,RaporTarihi-$A528))</f>
        <v/>
      </c>
      <c r="E528" s="18" t="n">
        <f aca="false">IF($C528="",0,ROUND($C528*$D528,0))</f>
        <v>0</v>
      </c>
      <c r="F528" s="22"/>
    </row>
    <row r="529" customFormat="false" ht="15" hidden="false" customHeight="false" outlineLevel="0" collapsed="false">
      <c r="A529" s="21"/>
      <c r="B529" s="22"/>
      <c r="C529" s="23"/>
      <c r="D529" s="19" t="str">
        <f aca="false">IF($A529="","",IFERROR(IF(INDEX(tblKasa[Tarih],ROW($A529)-ROW(tblKasa[[#Headers],[Tarih]])+1)=0,RaporTarihi,INDEX(tblKasa[Tarih],ROW($A529)-ROW(tblKasa[[#Headers],[Tarih]])+1))-$A529,RaporTarihi-$A529))</f>
        <v/>
      </c>
      <c r="E529" s="18" t="n">
        <f aca="false">IF($C529="",0,ROUND($C529*$D529,0))</f>
        <v>0</v>
      </c>
      <c r="F529" s="22"/>
    </row>
    <row r="530" customFormat="false" ht="15" hidden="false" customHeight="false" outlineLevel="0" collapsed="false">
      <c r="A530" s="21"/>
      <c r="B530" s="22"/>
      <c r="C530" s="23"/>
      <c r="D530" s="19" t="str">
        <f aca="false">IF($A530="","",IFERROR(IF(INDEX(tblKasa[Tarih],ROW($A530)-ROW(tblKasa[[#Headers],[Tarih]])+1)=0,RaporTarihi,INDEX(tblKasa[Tarih],ROW($A530)-ROW(tblKasa[[#Headers],[Tarih]])+1))-$A530,RaporTarihi-$A530))</f>
        <v/>
      </c>
      <c r="E530" s="18" t="n">
        <f aca="false">IF($C530="",0,ROUND($C530*$D530,0))</f>
        <v>0</v>
      </c>
      <c r="F530" s="22"/>
    </row>
    <row r="531" customFormat="false" ht="15" hidden="false" customHeight="false" outlineLevel="0" collapsed="false">
      <c r="A531" s="21"/>
      <c r="B531" s="22"/>
      <c r="C531" s="23"/>
      <c r="D531" s="19" t="str">
        <f aca="false">IF($A531="","",IFERROR(IF(INDEX(tblKasa[Tarih],ROW($A531)-ROW(tblKasa[[#Headers],[Tarih]])+1)=0,RaporTarihi,INDEX(tblKasa[Tarih],ROW($A531)-ROW(tblKasa[[#Headers],[Tarih]])+1))-$A531,RaporTarihi-$A531))</f>
        <v/>
      </c>
      <c r="E531" s="18" t="n">
        <f aca="false">IF($C531="",0,ROUND($C531*$D531,0))</f>
        <v>0</v>
      </c>
      <c r="F531" s="22"/>
    </row>
    <row r="532" customFormat="false" ht="15" hidden="false" customHeight="false" outlineLevel="0" collapsed="false">
      <c r="A532" s="21"/>
      <c r="B532" s="22"/>
      <c r="C532" s="23"/>
      <c r="D532" s="19" t="str">
        <f aca="false">IF($A532="","",IFERROR(IF(INDEX(tblKasa[Tarih],ROW($A532)-ROW(tblKasa[[#Headers],[Tarih]])+1)=0,RaporTarihi,INDEX(tblKasa[Tarih],ROW($A532)-ROW(tblKasa[[#Headers],[Tarih]])+1))-$A532,RaporTarihi-$A532))</f>
        <v/>
      </c>
      <c r="E532" s="18" t="n">
        <f aca="false">IF($C532="",0,ROUND($C532*$D532,0))</f>
        <v>0</v>
      </c>
      <c r="F532" s="22"/>
    </row>
    <row r="533" customFormat="false" ht="15" hidden="false" customHeight="false" outlineLevel="0" collapsed="false">
      <c r="A533" s="21"/>
      <c r="B533" s="22"/>
      <c r="C533" s="23"/>
      <c r="D533" s="19" t="str">
        <f aca="false">IF($A533="","",IFERROR(IF(INDEX(tblKasa[Tarih],ROW($A533)-ROW(tblKasa[[#Headers],[Tarih]])+1)=0,RaporTarihi,INDEX(tblKasa[Tarih],ROW($A533)-ROW(tblKasa[[#Headers],[Tarih]])+1))-$A533,RaporTarihi-$A533))</f>
        <v/>
      </c>
      <c r="E533" s="18" t="n">
        <f aca="false">IF($C533="",0,ROUND($C533*$D533,0))</f>
        <v>0</v>
      </c>
      <c r="F533" s="22"/>
    </row>
    <row r="534" customFormat="false" ht="15" hidden="false" customHeight="false" outlineLevel="0" collapsed="false">
      <c r="A534" s="21"/>
      <c r="B534" s="22"/>
      <c r="C534" s="23"/>
      <c r="D534" s="19" t="str">
        <f aca="false">IF($A534="","",IFERROR(IF(INDEX(tblKasa[Tarih],ROW($A534)-ROW(tblKasa[[#Headers],[Tarih]])+1)=0,RaporTarihi,INDEX(tblKasa[Tarih],ROW($A534)-ROW(tblKasa[[#Headers],[Tarih]])+1))-$A534,RaporTarihi-$A534))</f>
        <v/>
      </c>
      <c r="E534" s="18" t="n">
        <f aca="false">IF($C534="",0,ROUND($C534*$D534,0))</f>
        <v>0</v>
      </c>
      <c r="F534" s="22"/>
    </row>
    <row r="535" customFormat="false" ht="15" hidden="false" customHeight="false" outlineLevel="0" collapsed="false">
      <c r="A535" s="21"/>
      <c r="B535" s="22"/>
      <c r="C535" s="23"/>
      <c r="D535" s="19" t="str">
        <f aca="false">IF($A535="","",IFERROR(IF(INDEX(tblKasa[Tarih],ROW($A535)-ROW(tblKasa[[#Headers],[Tarih]])+1)=0,RaporTarihi,INDEX(tblKasa[Tarih],ROW($A535)-ROW(tblKasa[[#Headers],[Tarih]])+1))-$A535,RaporTarihi-$A535))</f>
        <v/>
      </c>
      <c r="E535" s="18" t="n">
        <f aca="false">IF($C535="",0,ROUND($C535*$D535,0))</f>
        <v>0</v>
      </c>
      <c r="F535" s="22"/>
    </row>
    <row r="536" customFormat="false" ht="15" hidden="false" customHeight="false" outlineLevel="0" collapsed="false">
      <c r="A536" s="21"/>
      <c r="B536" s="22"/>
      <c r="C536" s="23"/>
      <c r="D536" s="19" t="str">
        <f aca="false">IF($A536="","",IFERROR(IF(INDEX(tblKasa[Tarih],ROW($A536)-ROW(tblKasa[[#Headers],[Tarih]])+1)=0,RaporTarihi,INDEX(tblKasa[Tarih],ROW($A536)-ROW(tblKasa[[#Headers],[Tarih]])+1))-$A536,RaporTarihi-$A536))</f>
        <v/>
      </c>
      <c r="E536" s="18" t="n">
        <f aca="false">IF($C536="",0,ROUND($C536*$D536,0))</f>
        <v>0</v>
      </c>
      <c r="F536" s="22"/>
    </row>
    <row r="537" customFormat="false" ht="15" hidden="false" customHeight="false" outlineLevel="0" collapsed="false">
      <c r="A537" s="21"/>
      <c r="B537" s="22"/>
      <c r="C537" s="23"/>
      <c r="D537" s="19" t="str">
        <f aca="false">IF($A537="","",IFERROR(IF(INDEX(tblKasa[Tarih],ROW($A537)-ROW(tblKasa[[#Headers],[Tarih]])+1)=0,RaporTarihi,INDEX(tblKasa[Tarih],ROW($A537)-ROW(tblKasa[[#Headers],[Tarih]])+1))-$A537,RaporTarihi-$A537))</f>
        <v/>
      </c>
      <c r="E537" s="18" t="n">
        <f aca="false">IF($C537="",0,ROUND($C537*$D537,0))</f>
        <v>0</v>
      </c>
      <c r="F537" s="22"/>
    </row>
    <row r="538" customFormat="false" ht="15" hidden="false" customHeight="false" outlineLevel="0" collapsed="false">
      <c r="A538" s="21"/>
      <c r="B538" s="22"/>
      <c r="C538" s="23"/>
      <c r="D538" s="19" t="str">
        <f aca="false">IF($A538="","",IFERROR(IF(INDEX(tblKasa[Tarih],ROW($A538)-ROW(tblKasa[[#Headers],[Tarih]])+1)=0,RaporTarihi,INDEX(tblKasa[Tarih],ROW($A538)-ROW(tblKasa[[#Headers],[Tarih]])+1))-$A538,RaporTarihi-$A538))</f>
        <v/>
      </c>
      <c r="E538" s="18" t="n">
        <f aca="false">IF($C538="",0,ROUND($C538*$D538,0))</f>
        <v>0</v>
      </c>
      <c r="F538" s="22"/>
    </row>
    <row r="539" customFormat="false" ht="15" hidden="false" customHeight="false" outlineLevel="0" collapsed="false">
      <c r="A539" s="21"/>
      <c r="B539" s="22"/>
      <c r="C539" s="23"/>
      <c r="D539" s="19" t="str">
        <f aca="false">IF($A539="","",IFERROR(IF(INDEX(tblKasa[Tarih],ROW($A539)-ROW(tblKasa[[#Headers],[Tarih]])+1)=0,RaporTarihi,INDEX(tblKasa[Tarih],ROW($A539)-ROW(tblKasa[[#Headers],[Tarih]])+1))-$A539,RaporTarihi-$A539))</f>
        <v/>
      </c>
      <c r="E539" s="18" t="n">
        <f aca="false">IF($C539="",0,ROUND($C539*$D539,0))</f>
        <v>0</v>
      </c>
      <c r="F539" s="22"/>
    </row>
    <row r="540" customFormat="false" ht="15" hidden="false" customHeight="false" outlineLevel="0" collapsed="false">
      <c r="A540" s="21"/>
      <c r="B540" s="22"/>
      <c r="C540" s="23"/>
      <c r="D540" s="19" t="str">
        <f aca="false">IF($A540="","",IFERROR(IF(INDEX(tblKasa[Tarih],ROW($A540)-ROW(tblKasa[[#Headers],[Tarih]])+1)=0,RaporTarihi,INDEX(tblKasa[Tarih],ROW($A540)-ROW(tblKasa[[#Headers],[Tarih]])+1))-$A540,RaporTarihi-$A540))</f>
        <v/>
      </c>
      <c r="E540" s="18" t="n">
        <f aca="false">IF($C540="",0,ROUND($C540*$D540,0))</f>
        <v>0</v>
      </c>
      <c r="F540" s="22"/>
    </row>
    <row r="541" customFormat="false" ht="15" hidden="false" customHeight="false" outlineLevel="0" collapsed="false">
      <c r="A541" s="21"/>
      <c r="B541" s="22"/>
      <c r="C541" s="23"/>
      <c r="D541" s="19" t="str">
        <f aca="false">IF($A541="","",IFERROR(IF(INDEX(tblKasa[Tarih],ROW($A541)-ROW(tblKasa[[#Headers],[Tarih]])+1)=0,RaporTarihi,INDEX(tblKasa[Tarih],ROW($A541)-ROW(tblKasa[[#Headers],[Tarih]])+1))-$A541,RaporTarihi-$A541))</f>
        <v/>
      </c>
      <c r="E541" s="18" t="n">
        <f aca="false">IF($C541="",0,ROUND($C541*$D541,0))</f>
        <v>0</v>
      </c>
      <c r="F541" s="22"/>
    </row>
    <row r="542" customFormat="false" ht="15" hidden="false" customHeight="false" outlineLevel="0" collapsed="false">
      <c r="A542" s="21"/>
      <c r="B542" s="22"/>
      <c r="C542" s="23"/>
      <c r="D542" s="19" t="str">
        <f aca="false">IF($A542="","",IFERROR(IF(INDEX(tblKasa[Tarih],ROW($A542)-ROW(tblKasa[[#Headers],[Tarih]])+1)=0,RaporTarihi,INDEX(tblKasa[Tarih],ROW($A542)-ROW(tblKasa[[#Headers],[Tarih]])+1))-$A542,RaporTarihi-$A542))</f>
        <v/>
      </c>
      <c r="E542" s="18" t="n">
        <f aca="false">IF($C542="",0,ROUND($C542*$D542,0))</f>
        <v>0</v>
      </c>
      <c r="F542" s="22"/>
    </row>
    <row r="543" customFormat="false" ht="15" hidden="false" customHeight="false" outlineLevel="0" collapsed="false">
      <c r="A543" s="21"/>
      <c r="B543" s="22"/>
      <c r="C543" s="23"/>
      <c r="D543" s="19" t="str">
        <f aca="false">IF($A543="","",IFERROR(IF(INDEX(tblKasa[Tarih],ROW($A543)-ROW(tblKasa[[#Headers],[Tarih]])+1)=0,RaporTarihi,INDEX(tblKasa[Tarih],ROW($A543)-ROW(tblKasa[[#Headers],[Tarih]])+1))-$A543,RaporTarihi-$A543))</f>
        <v/>
      </c>
      <c r="E543" s="18" t="n">
        <f aca="false">IF($C543="",0,ROUND($C543*$D543,0))</f>
        <v>0</v>
      </c>
      <c r="F543" s="22"/>
    </row>
    <row r="544" customFormat="false" ht="15" hidden="false" customHeight="false" outlineLevel="0" collapsed="false">
      <c r="A544" s="21"/>
      <c r="B544" s="22"/>
      <c r="C544" s="23"/>
      <c r="D544" s="19" t="str">
        <f aca="false">IF($A544="","",IFERROR(IF(INDEX(tblKasa[Tarih],ROW($A544)-ROW(tblKasa[[#Headers],[Tarih]])+1)=0,RaporTarihi,INDEX(tblKasa[Tarih],ROW($A544)-ROW(tblKasa[[#Headers],[Tarih]])+1))-$A544,RaporTarihi-$A544))</f>
        <v/>
      </c>
      <c r="E544" s="18" t="n">
        <f aca="false">IF($C544="",0,ROUND($C544*$D544,0))</f>
        <v>0</v>
      </c>
      <c r="F544" s="22"/>
    </row>
    <row r="545" customFormat="false" ht="15" hidden="false" customHeight="false" outlineLevel="0" collapsed="false">
      <c r="A545" s="21"/>
      <c r="B545" s="22"/>
      <c r="C545" s="23"/>
      <c r="D545" s="19" t="str">
        <f aca="false">IF($A545="","",IFERROR(IF(INDEX(tblKasa[Tarih],ROW($A545)-ROW(tblKasa[[#Headers],[Tarih]])+1)=0,RaporTarihi,INDEX(tblKasa[Tarih],ROW($A545)-ROW(tblKasa[[#Headers],[Tarih]])+1))-$A545,RaporTarihi-$A545))</f>
        <v/>
      </c>
      <c r="E545" s="18" t="n">
        <f aca="false">IF($C545="",0,ROUND($C545*$D545,0))</f>
        <v>0</v>
      </c>
      <c r="F545" s="22"/>
    </row>
    <row r="546" customFormat="false" ht="15" hidden="false" customHeight="false" outlineLevel="0" collapsed="false">
      <c r="A546" s="21"/>
      <c r="B546" s="22"/>
      <c r="C546" s="23"/>
      <c r="D546" s="19" t="str">
        <f aca="false">IF($A546="","",IFERROR(IF(INDEX(tblKasa[Tarih],ROW($A546)-ROW(tblKasa[[#Headers],[Tarih]])+1)=0,RaporTarihi,INDEX(tblKasa[Tarih],ROW($A546)-ROW(tblKasa[[#Headers],[Tarih]])+1))-$A546,RaporTarihi-$A546))</f>
        <v/>
      </c>
      <c r="E546" s="18" t="n">
        <f aca="false">IF($C546="",0,ROUND($C546*$D546,0))</f>
        <v>0</v>
      </c>
      <c r="F546" s="22"/>
    </row>
    <row r="547" customFormat="false" ht="15" hidden="false" customHeight="false" outlineLevel="0" collapsed="false">
      <c r="A547" s="21"/>
      <c r="B547" s="22"/>
      <c r="C547" s="23"/>
      <c r="D547" s="19" t="str">
        <f aca="false">IF($A547="","",IFERROR(IF(INDEX(tblKasa[Tarih],ROW($A547)-ROW(tblKasa[[#Headers],[Tarih]])+1)=0,RaporTarihi,INDEX(tblKasa[Tarih],ROW($A547)-ROW(tblKasa[[#Headers],[Tarih]])+1))-$A547,RaporTarihi-$A547))</f>
        <v/>
      </c>
      <c r="E547" s="18" t="n">
        <f aca="false">IF($C547="",0,ROUND($C547*$D547,0))</f>
        <v>0</v>
      </c>
      <c r="F547" s="22"/>
    </row>
    <row r="548" customFormat="false" ht="15" hidden="false" customHeight="false" outlineLevel="0" collapsed="false">
      <c r="A548" s="21"/>
      <c r="B548" s="22"/>
      <c r="C548" s="23"/>
      <c r="D548" s="19" t="str">
        <f aca="false">IF($A548="","",IFERROR(IF(INDEX(tblKasa[Tarih],ROW($A548)-ROW(tblKasa[[#Headers],[Tarih]])+1)=0,RaporTarihi,INDEX(tblKasa[Tarih],ROW($A548)-ROW(tblKasa[[#Headers],[Tarih]])+1))-$A548,RaporTarihi-$A548))</f>
        <v/>
      </c>
      <c r="E548" s="18" t="n">
        <f aca="false">IF($C548="",0,ROUND($C548*$D548,0))</f>
        <v>0</v>
      </c>
      <c r="F548" s="22"/>
    </row>
    <row r="549" customFormat="false" ht="15" hidden="false" customHeight="false" outlineLevel="0" collapsed="false">
      <c r="A549" s="21"/>
      <c r="B549" s="22"/>
      <c r="C549" s="23"/>
      <c r="D549" s="19" t="str">
        <f aca="false">IF($A549="","",IFERROR(IF(INDEX(tblKasa[Tarih],ROW($A549)-ROW(tblKasa[[#Headers],[Tarih]])+1)=0,RaporTarihi,INDEX(tblKasa[Tarih],ROW($A549)-ROW(tblKasa[[#Headers],[Tarih]])+1))-$A549,RaporTarihi-$A549))</f>
        <v/>
      </c>
      <c r="E549" s="18" t="n">
        <f aca="false">IF($C549="",0,ROUND($C549*$D549,0))</f>
        <v>0</v>
      </c>
      <c r="F549" s="22"/>
    </row>
    <row r="550" customFormat="false" ht="15" hidden="false" customHeight="false" outlineLevel="0" collapsed="false">
      <c r="A550" s="21"/>
      <c r="B550" s="22"/>
      <c r="C550" s="23"/>
      <c r="D550" s="19" t="str">
        <f aca="false">IF($A550="","",IFERROR(IF(INDEX(tblKasa[Tarih],ROW($A550)-ROW(tblKasa[[#Headers],[Tarih]])+1)=0,RaporTarihi,INDEX(tblKasa[Tarih],ROW($A550)-ROW(tblKasa[[#Headers],[Tarih]])+1))-$A550,RaporTarihi-$A550))</f>
        <v/>
      </c>
      <c r="E550" s="18" t="n">
        <f aca="false">IF($C550="",0,ROUND($C550*$D550,0))</f>
        <v>0</v>
      </c>
      <c r="F550" s="22"/>
    </row>
    <row r="551" customFormat="false" ht="15" hidden="false" customHeight="false" outlineLevel="0" collapsed="false">
      <c r="A551" s="21"/>
      <c r="B551" s="22"/>
      <c r="C551" s="23"/>
      <c r="D551" s="19" t="str">
        <f aca="false">IF($A551="","",IFERROR(IF(INDEX(tblKasa[Tarih],ROW($A551)-ROW(tblKasa[[#Headers],[Tarih]])+1)=0,RaporTarihi,INDEX(tblKasa[Tarih],ROW($A551)-ROW(tblKasa[[#Headers],[Tarih]])+1))-$A551,RaporTarihi-$A551))</f>
        <v/>
      </c>
      <c r="E551" s="18" t="n">
        <f aca="false">IF($C551="",0,ROUND($C551*$D551,0))</f>
        <v>0</v>
      </c>
      <c r="F551" s="22"/>
    </row>
    <row r="552" customFormat="false" ht="15" hidden="false" customHeight="false" outlineLevel="0" collapsed="false">
      <c r="A552" s="21"/>
      <c r="B552" s="22"/>
      <c r="C552" s="23"/>
      <c r="D552" s="19" t="str">
        <f aca="false">IF($A552="","",IFERROR(IF(INDEX(tblKasa[Tarih],ROW($A552)-ROW(tblKasa[[#Headers],[Tarih]])+1)=0,RaporTarihi,INDEX(tblKasa[Tarih],ROW($A552)-ROW(tblKasa[[#Headers],[Tarih]])+1))-$A552,RaporTarihi-$A552))</f>
        <v/>
      </c>
      <c r="E552" s="18" t="n">
        <f aca="false">IF($C552="",0,ROUND($C552*$D552,0))</f>
        <v>0</v>
      </c>
      <c r="F552" s="22"/>
    </row>
    <row r="553" customFormat="false" ht="15" hidden="false" customHeight="false" outlineLevel="0" collapsed="false">
      <c r="A553" s="21"/>
      <c r="B553" s="22"/>
      <c r="C553" s="23"/>
      <c r="D553" s="19" t="str">
        <f aca="false">IF($A553="","",IFERROR(IF(INDEX(tblKasa[Tarih],ROW($A553)-ROW(tblKasa[[#Headers],[Tarih]])+1)=0,RaporTarihi,INDEX(tblKasa[Tarih],ROW($A553)-ROW(tblKasa[[#Headers],[Tarih]])+1))-$A553,RaporTarihi-$A553))</f>
        <v/>
      </c>
      <c r="E553" s="18" t="n">
        <f aca="false">IF($C553="",0,ROUND($C553*$D553,0))</f>
        <v>0</v>
      </c>
      <c r="F553" s="22"/>
    </row>
    <row r="554" customFormat="false" ht="15" hidden="false" customHeight="false" outlineLevel="0" collapsed="false">
      <c r="A554" s="21"/>
      <c r="B554" s="22"/>
      <c r="C554" s="23"/>
      <c r="D554" s="19" t="str">
        <f aca="false">IF($A554="","",IFERROR(IF(INDEX(tblKasa[Tarih],ROW($A554)-ROW(tblKasa[[#Headers],[Tarih]])+1)=0,RaporTarihi,INDEX(tblKasa[Tarih],ROW($A554)-ROW(tblKasa[[#Headers],[Tarih]])+1))-$A554,RaporTarihi-$A554))</f>
        <v/>
      </c>
      <c r="E554" s="18" t="n">
        <f aca="false">IF($C554="",0,ROUND($C554*$D554,0))</f>
        <v>0</v>
      </c>
      <c r="F554" s="22"/>
    </row>
    <row r="555" customFormat="false" ht="15" hidden="false" customHeight="false" outlineLevel="0" collapsed="false">
      <c r="A555" s="21"/>
      <c r="B555" s="22"/>
      <c r="C555" s="23"/>
      <c r="D555" s="19" t="str">
        <f aca="false">IF($A555="","",IFERROR(IF(INDEX(tblKasa[Tarih],ROW($A555)-ROW(tblKasa[[#Headers],[Tarih]])+1)=0,RaporTarihi,INDEX(tblKasa[Tarih],ROW($A555)-ROW(tblKasa[[#Headers],[Tarih]])+1))-$A555,RaporTarihi-$A555))</f>
        <v/>
      </c>
      <c r="E555" s="18" t="n">
        <f aca="false">IF($C555="",0,ROUND($C555*$D555,0))</f>
        <v>0</v>
      </c>
      <c r="F555" s="22"/>
    </row>
    <row r="556" customFormat="false" ht="15" hidden="false" customHeight="false" outlineLevel="0" collapsed="false">
      <c r="A556" s="21"/>
      <c r="B556" s="22"/>
      <c r="C556" s="23"/>
      <c r="D556" s="19" t="str">
        <f aca="false">IF($A556="","",IFERROR(IF(INDEX(tblKasa[Tarih],ROW($A556)-ROW(tblKasa[[#Headers],[Tarih]])+1)=0,RaporTarihi,INDEX(tblKasa[Tarih],ROW($A556)-ROW(tblKasa[[#Headers],[Tarih]])+1))-$A556,RaporTarihi-$A556))</f>
        <v/>
      </c>
      <c r="E556" s="18" t="n">
        <f aca="false">IF($C556="",0,ROUND($C556*$D556,0))</f>
        <v>0</v>
      </c>
      <c r="F556" s="22"/>
    </row>
    <row r="557" customFormat="false" ht="15" hidden="false" customHeight="false" outlineLevel="0" collapsed="false">
      <c r="A557" s="21"/>
      <c r="B557" s="22"/>
      <c r="C557" s="23"/>
      <c r="D557" s="19" t="str">
        <f aca="false">IF($A557="","",IFERROR(IF(INDEX(tblKasa[Tarih],ROW($A557)-ROW(tblKasa[[#Headers],[Tarih]])+1)=0,RaporTarihi,INDEX(tblKasa[Tarih],ROW($A557)-ROW(tblKasa[[#Headers],[Tarih]])+1))-$A557,RaporTarihi-$A557))</f>
        <v/>
      </c>
      <c r="E557" s="18" t="n">
        <f aca="false">IF($C557="",0,ROUND($C557*$D557,0))</f>
        <v>0</v>
      </c>
      <c r="F557" s="22"/>
    </row>
    <row r="558" customFormat="false" ht="15" hidden="false" customHeight="false" outlineLevel="0" collapsed="false">
      <c r="A558" s="21"/>
      <c r="B558" s="22"/>
      <c r="C558" s="23"/>
      <c r="D558" s="19" t="str">
        <f aca="false">IF($A558="","",IFERROR(IF(INDEX(tblKasa[Tarih],ROW($A558)-ROW(tblKasa[[#Headers],[Tarih]])+1)=0,RaporTarihi,INDEX(tblKasa[Tarih],ROW($A558)-ROW(tblKasa[[#Headers],[Tarih]])+1))-$A558,RaporTarihi-$A558))</f>
        <v/>
      </c>
      <c r="E558" s="18" t="n">
        <f aca="false">IF($C558="",0,ROUND($C558*$D558,0))</f>
        <v>0</v>
      </c>
      <c r="F558" s="22"/>
    </row>
    <row r="559" customFormat="false" ht="15" hidden="false" customHeight="false" outlineLevel="0" collapsed="false">
      <c r="A559" s="21"/>
      <c r="B559" s="22"/>
      <c r="C559" s="23"/>
      <c r="D559" s="19" t="str">
        <f aca="false">IF($A559="","",IFERROR(IF(INDEX(tblKasa[Tarih],ROW($A559)-ROW(tblKasa[[#Headers],[Tarih]])+1)=0,RaporTarihi,INDEX(tblKasa[Tarih],ROW($A559)-ROW(tblKasa[[#Headers],[Tarih]])+1))-$A559,RaporTarihi-$A559))</f>
        <v/>
      </c>
      <c r="E559" s="18" t="n">
        <f aca="false">IF($C559="",0,ROUND($C559*$D559,0))</f>
        <v>0</v>
      </c>
      <c r="F559" s="22"/>
    </row>
    <row r="560" customFormat="false" ht="15" hidden="false" customHeight="false" outlineLevel="0" collapsed="false">
      <c r="A560" s="21"/>
      <c r="B560" s="22"/>
      <c r="C560" s="23"/>
      <c r="D560" s="19" t="str">
        <f aca="false">IF($A560="","",IFERROR(IF(INDEX(tblKasa[Tarih],ROW($A560)-ROW(tblKasa[[#Headers],[Tarih]])+1)=0,RaporTarihi,INDEX(tblKasa[Tarih],ROW($A560)-ROW(tblKasa[[#Headers],[Tarih]])+1))-$A560,RaporTarihi-$A560))</f>
        <v/>
      </c>
      <c r="E560" s="18" t="n">
        <f aca="false">IF($C560="",0,ROUND($C560*$D560,0))</f>
        <v>0</v>
      </c>
      <c r="F560" s="22"/>
    </row>
    <row r="561" customFormat="false" ht="15" hidden="false" customHeight="false" outlineLevel="0" collapsed="false">
      <c r="A561" s="21"/>
      <c r="B561" s="22"/>
      <c r="C561" s="23"/>
      <c r="D561" s="19" t="str">
        <f aca="false">IF($A561="","",IFERROR(IF(INDEX(tblKasa[Tarih],ROW($A561)-ROW(tblKasa[[#Headers],[Tarih]])+1)=0,RaporTarihi,INDEX(tblKasa[Tarih],ROW($A561)-ROW(tblKasa[[#Headers],[Tarih]])+1))-$A561,RaporTarihi-$A561))</f>
        <v/>
      </c>
      <c r="E561" s="18" t="n">
        <f aca="false">IF($C561="",0,ROUND($C561*$D561,0))</f>
        <v>0</v>
      </c>
      <c r="F561" s="22"/>
    </row>
    <row r="562" customFormat="false" ht="15" hidden="false" customHeight="false" outlineLevel="0" collapsed="false">
      <c r="A562" s="21"/>
      <c r="B562" s="22"/>
      <c r="C562" s="23"/>
      <c r="D562" s="19" t="str">
        <f aca="false">IF($A562="","",IFERROR(IF(INDEX(tblKasa[Tarih],ROW($A562)-ROW(tblKasa[[#Headers],[Tarih]])+1)=0,RaporTarihi,INDEX(tblKasa[Tarih],ROW($A562)-ROW(tblKasa[[#Headers],[Tarih]])+1))-$A562,RaporTarihi-$A562))</f>
        <v/>
      </c>
      <c r="E562" s="18" t="n">
        <f aca="false">IF($C562="",0,ROUND($C562*$D562,0))</f>
        <v>0</v>
      </c>
      <c r="F562" s="22"/>
    </row>
    <row r="563" customFormat="false" ht="15" hidden="false" customHeight="false" outlineLevel="0" collapsed="false">
      <c r="A563" s="21"/>
      <c r="B563" s="22"/>
      <c r="C563" s="23"/>
      <c r="D563" s="19" t="str">
        <f aca="false">IF($A563="","",IFERROR(IF(INDEX(tblKasa[Tarih],ROW($A563)-ROW(tblKasa[[#Headers],[Tarih]])+1)=0,RaporTarihi,INDEX(tblKasa[Tarih],ROW($A563)-ROW(tblKasa[[#Headers],[Tarih]])+1))-$A563,RaporTarihi-$A563))</f>
        <v/>
      </c>
      <c r="E563" s="18" t="n">
        <f aca="false">IF($C563="",0,ROUND($C563*$D563,0))</f>
        <v>0</v>
      </c>
      <c r="F563" s="22"/>
    </row>
    <row r="564" customFormat="false" ht="15" hidden="false" customHeight="false" outlineLevel="0" collapsed="false">
      <c r="A564" s="21"/>
      <c r="B564" s="22"/>
      <c r="C564" s="23"/>
      <c r="D564" s="19" t="str">
        <f aca="false">IF($A564="","",IFERROR(IF(INDEX(tblKasa[Tarih],ROW($A564)-ROW(tblKasa[[#Headers],[Tarih]])+1)=0,RaporTarihi,INDEX(tblKasa[Tarih],ROW($A564)-ROW(tblKasa[[#Headers],[Tarih]])+1))-$A564,RaporTarihi-$A564))</f>
        <v/>
      </c>
      <c r="E564" s="18" t="n">
        <f aca="false">IF($C564="",0,ROUND($C564*$D564,0))</f>
        <v>0</v>
      </c>
      <c r="F564" s="22"/>
    </row>
    <row r="565" customFormat="false" ht="15" hidden="false" customHeight="false" outlineLevel="0" collapsed="false">
      <c r="A565" s="21"/>
      <c r="B565" s="22"/>
      <c r="C565" s="23"/>
      <c r="D565" s="19" t="str">
        <f aca="false">IF($A565="","",IFERROR(IF(INDEX(tblKasa[Tarih],ROW($A565)-ROW(tblKasa[[#Headers],[Tarih]])+1)=0,RaporTarihi,INDEX(tblKasa[Tarih],ROW($A565)-ROW(tblKasa[[#Headers],[Tarih]])+1))-$A565,RaporTarihi-$A565))</f>
        <v/>
      </c>
      <c r="E565" s="18" t="n">
        <f aca="false">IF($C565="",0,ROUND($C565*$D565,0))</f>
        <v>0</v>
      </c>
      <c r="F565" s="22"/>
    </row>
    <row r="566" customFormat="false" ht="15" hidden="false" customHeight="false" outlineLevel="0" collapsed="false">
      <c r="A566" s="21"/>
      <c r="B566" s="22"/>
      <c r="C566" s="23"/>
      <c r="D566" s="19" t="str">
        <f aca="false">IF($A566="","",IFERROR(IF(INDEX(tblKasa[Tarih],ROW($A566)-ROW(tblKasa[[#Headers],[Tarih]])+1)=0,RaporTarihi,INDEX(tblKasa[Tarih],ROW($A566)-ROW(tblKasa[[#Headers],[Tarih]])+1))-$A566,RaporTarihi-$A566))</f>
        <v/>
      </c>
      <c r="E566" s="18" t="n">
        <f aca="false">IF($C566="",0,ROUND($C566*$D566,0))</f>
        <v>0</v>
      </c>
      <c r="F566" s="22"/>
    </row>
    <row r="567" customFormat="false" ht="15" hidden="false" customHeight="false" outlineLevel="0" collapsed="false">
      <c r="A567" s="21"/>
      <c r="B567" s="22"/>
      <c r="C567" s="23"/>
      <c r="D567" s="19" t="str">
        <f aca="false">IF($A567="","",IFERROR(IF(INDEX(tblKasa[Tarih],ROW($A567)-ROW(tblKasa[[#Headers],[Tarih]])+1)=0,RaporTarihi,INDEX(tblKasa[Tarih],ROW($A567)-ROW(tblKasa[[#Headers],[Tarih]])+1))-$A567,RaporTarihi-$A567))</f>
        <v/>
      </c>
      <c r="E567" s="18" t="n">
        <f aca="false">IF($C567="",0,ROUND($C567*$D567,0))</f>
        <v>0</v>
      </c>
      <c r="F567" s="22"/>
    </row>
    <row r="568" customFormat="false" ht="15" hidden="false" customHeight="false" outlineLevel="0" collapsed="false">
      <c r="A568" s="21"/>
      <c r="B568" s="22"/>
      <c r="C568" s="23"/>
      <c r="D568" s="19" t="str">
        <f aca="false">IF($A568="","",IFERROR(IF(INDEX(tblKasa[Tarih],ROW($A568)-ROW(tblKasa[[#Headers],[Tarih]])+1)=0,RaporTarihi,INDEX(tblKasa[Tarih],ROW($A568)-ROW(tblKasa[[#Headers],[Tarih]])+1))-$A568,RaporTarihi-$A568))</f>
        <v/>
      </c>
      <c r="E568" s="18" t="n">
        <f aca="false">IF($C568="",0,ROUND($C568*$D568,0))</f>
        <v>0</v>
      </c>
      <c r="F568" s="22"/>
    </row>
    <row r="569" customFormat="false" ht="15" hidden="false" customHeight="false" outlineLevel="0" collapsed="false">
      <c r="A569" s="21"/>
      <c r="B569" s="22"/>
      <c r="C569" s="23"/>
      <c r="D569" s="19" t="str">
        <f aca="false">IF($A569="","",IFERROR(IF(INDEX(tblKasa[Tarih],ROW($A569)-ROW(tblKasa[[#Headers],[Tarih]])+1)=0,RaporTarihi,INDEX(tblKasa[Tarih],ROW($A569)-ROW(tblKasa[[#Headers],[Tarih]])+1))-$A569,RaporTarihi-$A569))</f>
        <v/>
      </c>
      <c r="E569" s="18" t="n">
        <f aca="false">IF($C569="",0,ROUND($C569*$D569,0))</f>
        <v>0</v>
      </c>
      <c r="F569" s="22"/>
    </row>
    <row r="570" customFormat="false" ht="15" hidden="false" customHeight="false" outlineLevel="0" collapsed="false">
      <c r="A570" s="21"/>
      <c r="B570" s="22"/>
      <c r="C570" s="23"/>
      <c r="D570" s="19" t="str">
        <f aca="false">IF($A570="","",IFERROR(IF(INDEX(tblKasa[Tarih],ROW($A570)-ROW(tblKasa[[#Headers],[Tarih]])+1)=0,RaporTarihi,INDEX(tblKasa[Tarih],ROW($A570)-ROW(tblKasa[[#Headers],[Tarih]])+1))-$A570,RaporTarihi-$A570))</f>
        <v/>
      </c>
      <c r="E570" s="18" t="n">
        <f aca="false">IF($C570="",0,ROUND($C570*$D570,0))</f>
        <v>0</v>
      </c>
      <c r="F570" s="22"/>
    </row>
    <row r="571" customFormat="false" ht="15" hidden="false" customHeight="false" outlineLevel="0" collapsed="false">
      <c r="A571" s="21"/>
      <c r="B571" s="22"/>
      <c r="C571" s="23"/>
      <c r="D571" s="19" t="str">
        <f aca="false">IF($A571="","",IFERROR(IF(INDEX(tblKasa[Tarih],ROW($A571)-ROW(tblKasa[[#Headers],[Tarih]])+1)=0,RaporTarihi,INDEX(tblKasa[Tarih],ROW($A571)-ROW(tblKasa[[#Headers],[Tarih]])+1))-$A571,RaporTarihi-$A571))</f>
        <v/>
      </c>
      <c r="E571" s="18" t="n">
        <f aca="false">IF($C571="",0,ROUND($C571*$D571,0))</f>
        <v>0</v>
      </c>
      <c r="F571" s="22"/>
    </row>
    <row r="572" customFormat="false" ht="15" hidden="false" customHeight="false" outlineLevel="0" collapsed="false">
      <c r="A572" s="21"/>
      <c r="B572" s="22"/>
      <c r="C572" s="23"/>
      <c r="D572" s="19" t="str">
        <f aca="false">IF($A572="","",IFERROR(IF(INDEX(tblKasa[Tarih],ROW($A572)-ROW(tblKasa[[#Headers],[Tarih]])+1)=0,RaporTarihi,INDEX(tblKasa[Tarih],ROW($A572)-ROW(tblKasa[[#Headers],[Tarih]])+1))-$A572,RaporTarihi-$A572))</f>
        <v/>
      </c>
      <c r="E572" s="18" t="n">
        <f aca="false">IF($C572="",0,ROUND($C572*$D572,0))</f>
        <v>0</v>
      </c>
      <c r="F572" s="22"/>
    </row>
    <row r="573" customFormat="false" ht="15" hidden="false" customHeight="false" outlineLevel="0" collapsed="false">
      <c r="A573" s="21"/>
      <c r="B573" s="22"/>
      <c r="C573" s="23"/>
      <c r="D573" s="19" t="str">
        <f aca="false">IF($A573="","",IFERROR(IF(INDEX(tblKasa[Tarih],ROW($A573)-ROW(tblKasa[[#Headers],[Tarih]])+1)=0,RaporTarihi,INDEX(tblKasa[Tarih],ROW($A573)-ROW(tblKasa[[#Headers],[Tarih]])+1))-$A573,RaporTarihi-$A573))</f>
        <v/>
      </c>
      <c r="E573" s="18" t="n">
        <f aca="false">IF($C573="",0,ROUND($C573*$D573,0))</f>
        <v>0</v>
      </c>
      <c r="F573" s="22"/>
    </row>
    <row r="574" customFormat="false" ht="15" hidden="false" customHeight="false" outlineLevel="0" collapsed="false">
      <c r="A574" s="21"/>
      <c r="B574" s="22"/>
      <c r="C574" s="23"/>
      <c r="D574" s="19" t="str">
        <f aca="false">IF($A574="","",IFERROR(IF(INDEX(tblKasa[Tarih],ROW($A574)-ROW(tblKasa[[#Headers],[Tarih]])+1)=0,RaporTarihi,INDEX(tblKasa[Tarih],ROW($A574)-ROW(tblKasa[[#Headers],[Tarih]])+1))-$A574,RaporTarihi-$A574))</f>
        <v/>
      </c>
      <c r="E574" s="18" t="n">
        <f aca="false">IF($C574="",0,ROUND($C574*$D574,0))</f>
        <v>0</v>
      </c>
      <c r="F574" s="22"/>
    </row>
    <row r="575" customFormat="false" ht="15" hidden="false" customHeight="false" outlineLevel="0" collapsed="false">
      <c r="A575" s="21"/>
      <c r="B575" s="22"/>
      <c r="C575" s="23"/>
      <c r="D575" s="19" t="str">
        <f aca="false">IF($A575="","",IFERROR(IF(INDEX(tblKasa[Tarih],ROW($A575)-ROW(tblKasa[[#Headers],[Tarih]])+1)=0,RaporTarihi,INDEX(tblKasa[Tarih],ROW($A575)-ROW(tblKasa[[#Headers],[Tarih]])+1))-$A575,RaporTarihi-$A575))</f>
        <v/>
      </c>
      <c r="E575" s="18" t="n">
        <f aca="false">IF($C575="",0,ROUND($C575*$D575,0))</f>
        <v>0</v>
      </c>
      <c r="F575" s="22"/>
    </row>
    <row r="576" customFormat="false" ht="15" hidden="false" customHeight="false" outlineLevel="0" collapsed="false">
      <c r="A576" s="21"/>
      <c r="B576" s="22"/>
      <c r="C576" s="23"/>
      <c r="D576" s="19" t="str">
        <f aca="false">IF($A576="","",IFERROR(IF(INDEX(tblKasa[Tarih],ROW($A576)-ROW(tblKasa[[#Headers],[Tarih]])+1)=0,RaporTarihi,INDEX(tblKasa[Tarih],ROW($A576)-ROW(tblKasa[[#Headers],[Tarih]])+1))-$A576,RaporTarihi-$A576))</f>
        <v/>
      </c>
      <c r="E576" s="18" t="n">
        <f aca="false">IF($C576="",0,ROUND($C576*$D576,0))</f>
        <v>0</v>
      </c>
      <c r="F576" s="22"/>
    </row>
    <row r="577" customFormat="false" ht="15" hidden="false" customHeight="false" outlineLevel="0" collapsed="false">
      <c r="A577" s="21"/>
      <c r="B577" s="22"/>
      <c r="C577" s="23"/>
      <c r="D577" s="19" t="str">
        <f aca="false">IF($A577="","",IFERROR(IF(INDEX(tblKasa[Tarih],ROW($A577)-ROW(tblKasa[[#Headers],[Tarih]])+1)=0,RaporTarihi,INDEX(tblKasa[Tarih],ROW($A577)-ROW(tblKasa[[#Headers],[Tarih]])+1))-$A577,RaporTarihi-$A577))</f>
        <v/>
      </c>
      <c r="E577" s="18" t="n">
        <f aca="false">IF($C577="",0,ROUND($C577*$D577,0))</f>
        <v>0</v>
      </c>
      <c r="F577" s="22"/>
    </row>
    <row r="578" customFormat="false" ht="15" hidden="false" customHeight="false" outlineLevel="0" collapsed="false">
      <c r="A578" s="21"/>
      <c r="B578" s="22"/>
      <c r="C578" s="23"/>
      <c r="D578" s="19" t="str">
        <f aca="false">IF($A578="","",IFERROR(IF(INDEX(tblKasa[Tarih],ROW($A578)-ROW(tblKasa[[#Headers],[Tarih]])+1)=0,RaporTarihi,INDEX(tblKasa[Tarih],ROW($A578)-ROW(tblKasa[[#Headers],[Tarih]])+1))-$A578,RaporTarihi-$A578))</f>
        <v/>
      </c>
      <c r="E578" s="18" t="n">
        <f aca="false">IF($C578="",0,ROUND($C578*$D578,0))</f>
        <v>0</v>
      </c>
      <c r="F578" s="22"/>
    </row>
    <row r="579" customFormat="false" ht="15" hidden="false" customHeight="false" outlineLevel="0" collapsed="false">
      <c r="A579" s="21"/>
      <c r="B579" s="22"/>
      <c r="C579" s="23"/>
      <c r="D579" s="19" t="str">
        <f aca="false">IF($A579="","",IFERROR(IF(INDEX(tblKasa[Tarih],ROW($A579)-ROW(tblKasa[[#Headers],[Tarih]])+1)=0,RaporTarihi,INDEX(tblKasa[Tarih],ROW($A579)-ROW(tblKasa[[#Headers],[Tarih]])+1))-$A579,RaporTarihi-$A579))</f>
        <v/>
      </c>
      <c r="E579" s="18" t="n">
        <f aca="false">IF($C579="",0,ROUND($C579*$D579,0))</f>
        <v>0</v>
      </c>
      <c r="F579" s="22"/>
    </row>
    <row r="580" customFormat="false" ht="15" hidden="false" customHeight="false" outlineLevel="0" collapsed="false">
      <c r="A580" s="21"/>
      <c r="B580" s="22"/>
      <c r="C580" s="23"/>
      <c r="D580" s="19" t="str">
        <f aca="false">IF($A580="","",IFERROR(IF(INDEX(tblKasa[Tarih],ROW($A580)-ROW(tblKasa[[#Headers],[Tarih]])+1)=0,RaporTarihi,INDEX(tblKasa[Tarih],ROW($A580)-ROW(tblKasa[[#Headers],[Tarih]])+1))-$A580,RaporTarihi-$A580))</f>
        <v/>
      </c>
      <c r="E580" s="18" t="n">
        <f aca="false">IF($C580="",0,ROUND($C580*$D580,0))</f>
        <v>0</v>
      </c>
      <c r="F580" s="22"/>
    </row>
    <row r="581" customFormat="false" ht="15" hidden="false" customHeight="false" outlineLevel="0" collapsed="false">
      <c r="A581" s="21"/>
      <c r="B581" s="22"/>
      <c r="C581" s="23"/>
      <c r="D581" s="19" t="str">
        <f aca="false">IF($A581="","",IFERROR(IF(INDEX(tblKasa[Tarih],ROW($A581)-ROW(tblKasa[[#Headers],[Tarih]])+1)=0,RaporTarihi,INDEX(tblKasa[Tarih],ROW($A581)-ROW(tblKasa[[#Headers],[Tarih]])+1))-$A581,RaporTarihi-$A581))</f>
        <v/>
      </c>
      <c r="E581" s="18" t="n">
        <f aca="false">IF($C581="",0,ROUND($C581*$D581,0))</f>
        <v>0</v>
      </c>
      <c r="F581" s="22"/>
    </row>
    <row r="582" customFormat="false" ht="15" hidden="false" customHeight="false" outlineLevel="0" collapsed="false">
      <c r="A582" s="21"/>
      <c r="B582" s="22"/>
      <c r="C582" s="23"/>
      <c r="D582" s="19" t="str">
        <f aca="false">IF($A582="","",IFERROR(IF(INDEX(tblKasa[Tarih],ROW($A582)-ROW(tblKasa[[#Headers],[Tarih]])+1)=0,RaporTarihi,INDEX(tblKasa[Tarih],ROW($A582)-ROW(tblKasa[[#Headers],[Tarih]])+1))-$A582,RaporTarihi-$A582))</f>
        <v/>
      </c>
      <c r="E582" s="18" t="n">
        <f aca="false">IF($C582="",0,ROUND($C582*$D582,0))</f>
        <v>0</v>
      </c>
      <c r="F582" s="22"/>
    </row>
    <row r="583" customFormat="false" ht="15" hidden="false" customHeight="false" outlineLevel="0" collapsed="false">
      <c r="A583" s="21"/>
      <c r="B583" s="22"/>
      <c r="C583" s="23"/>
      <c r="D583" s="19" t="str">
        <f aca="false">IF($A583="","",IFERROR(IF(INDEX(tblKasa[Tarih],ROW($A583)-ROW(tblKasa[[#Headers],[Tarih]])+1)=0,RaporTarihi,INDEX(tblKasa[Tarih],ROW($A583)-ROW(tblKasa[[#Headers],[Tarih]])+1))-$A583,RaporTarihi-$A583))</f>
        <v/>
      </c>
      <c r="E583" s="18" t="n">
        <f aca="false">IF($C583="",0,ROUND($C583*$D583,0))</f>
        <v>0</v>
      </c>
      <c r="F583" s="22"/>
    </row>
    <row r="584" customFormat="false" ht="15" hidden="false" customHeight="false" outlineLevel="0" collapsed="false">
      <c r="A584" s="21"/>
      <c r="B584" s="22"/>
      <c r="C584" s="23"/>
      <c r="D584" s="19" t="str">
        <f aca="false">IF($A584="","",IFERROR(IF(INDEX(tblKasa[Tarih],ROW($A584)-ROW(tblKasa[[#Headers],[Tarih]])+1)=0,RaporTarihi,INDEX(tblKasa[Tarih],ROW($A584)-ROW(tblKasa[[#Headers],[Tarih]])+1))-$A584,RaporTarihi-$A584))</f>
        <v/>
      </c>
      <c r="E584" s="18" t="n">
        <f aca="false">IF($C584="",0,ROUND($C584*$D584,0))</f>
        <v>0</v>
      </c>
      <c r="F584" s="22"/>
    </row>
    <row r="585" customFormat="false" ht="15" hidden="false" customHeight="false" outlineLevel="0" collapsed="false">
      <c r="A585" s="21"/>
      <c r="B585" s="22"/>
      <c r="C585" s="23"/>
      <c r="D585" s="19" t="str">
        <f aca="false">IF($A585="","",IFERROR(IF(INDEX(tblKasa[Tarih],ROW($A585)-ROW(tblKasa[[#Headers],[Tarih]])+1)=0,RaporTarihi,INDEX(tblKasa[Tarih],ROW($A585)-ROW(tblKasa[[#Headers],[Tarih]])+1))-$A585,RaporTarihi-$A585))</f>
        <v/>
      </c>
      <c r="E585" s="18" t="n">
        <f aca="false">IF($C585="",0,ROUND($C585*$D585,0))</f>
        <v>0</v>
      </c>
      <c r="F585" s="22"/>
    </row>
    <row r="586" customFormat="false" ht="15" hidden="false" customHeight="false" outlineLevel="0" collapsed="false">
      <c r="A586" s="21"/>
      <c r="B586" s="22"/>
      <c r="C586" s="23"/>
      <c r="D586" s="19" t="str">
        <f aca="false">IF($A586="","",IFERROR(IF(INDEX(tblKasa[Tarih],ROW($A586)-ROW(tblKasa[[#Headers],[Tarih]])+1)=0,RaporTarihi,INDEX(tblKasa[Tarih],ROW($A586)-ROW(tblKasa[[#Headers],[Tarih]])+1))-$A586,RaporTarihi-$A586))</f>
        <v/>
      </c>
      <c r="E586" s="18" t="n">
        <f aca="false">IF($C586="",0,ROUND($C586*$D586,0))</f>
        <v>0</v>
      </c>
      <c r="F586" s="22"/>
    </row>
    <row r="587" customFormat="false" ht="15" hidden="false" customHeight="false" outlineLevel="0" collapsed="false">
      <c r="A587" s="21"/>
      <c r="B587" s="22"/>
      <c r="C587" s="23"/>
      <c r="D587" s="19" t="str">
        <f aca="false">IF($A587="","",IFERROR(IF(INDEX(tblKasa[Tarih],ROW($A587)-ROW(tblKasa[[#Headers],[Tarih]])+1)=0,RaporTarihi,INDEX(tblKasa[Tarih],ROW($A587)-ROW(tblKasa[[#Headers],[Tarih]])+1))-$A587,RaporTarihi-$A587))</f>
        <v/>
      </c>
      <c r="E587" s="18" t="n">
        <f aca="false">IF($C587="",0,ROUND($C587*$D587,0))</f>
        <v>0</v>
      </c>
      <c r="F587" s="22"/>
    </row>
    <row r="588" customFormat="false" ht="15" hidden="false" customHeight="false" outlineLevel="0" collapsed="false">
      <c r="A588" s="21"/>
      <c r="B588" s="22"/>
      <c r="C588" s="23"/>
      <c r="D588" s="19" t="str">
        <f aca="false">IF($A588="","",IFERROR(IF(INDEX(tblKasa[Tarih],ROW($A588)-ROW(tblKasa[[#Headers],[Tarih]])+1)=0,RaporTarihi,INDEX(tblKasa[Tarih],ROW($A588)-ROW(tblKasa[[#Headers],[Tarih]])+1))-$A588,RaporTarihi-$A588))</f>
        <v/>
      </c>
      <c r="E588" s="18" t="n">
        <f aca="false">IF($C588="",0,ROUND($C588*$D588,0))</f>
        <v>0</v>
      </c>
      <c r="F588" s="22"/>
    </row>
    <row r="589" customFormat="false" ht="15" hidden="false" customHeight="false" outlineLevel="0" collapsed="false">
      <c r="A589" s="21"/>
      <c r="B589" s="22"/>
      <c r="C589" s="23"/>
      <c r="D589" s="19" t="str">
        <f aca="false">IF($A589="","",IFERROR(IF(INDEX(tblKasa[Tarih],ROW($A589)-ROW(tblKasa[[#Headers],[Tarih]])+1)=0,RaporTarihi,INDEX(tblKasa[Tarih],ROW($A589)-ROW(tblKasa[[#Headers],[Tarih]])+1))-$A589,RaporTarihi-$A589))</f>
        <v/>
      </c>
      <c r="E589" s="18" t="n">
        <f aca="false">IF($C589="",0,ROUND($C589*$D589,0))</f>
        <v>0</v>
      </c>
      <c r="F589" s="22"/>
    </row>
    <row r="590" customFormat="false" ht="15" hidden="false" customHeight="false" outlineLevel="0" collapsed="false">
      <c r="A590" s="21"/>
      <c r="B590" s="22"/>
      <c r="C590" s="23"/>
      <c r="D590" s="19" t="str">
        <f aca="false">IF($A590="","",IFERROR(IF(INDEX(tblKasa[Tarih],ROW($A590)-ROW(tblKasa[[#Headers],[Tarih]])+1)=0,RaporTarihi,INDEX(tblKasa[Tarih],ROW($A590)-ROW(tblKasa[[#Headers],[Tarih]])+1))-$A590,RaporTarihi-$A590))</f>
        <v/>
      </c>
      <c r="E590" s="18" t="n">
        <f aca="false">IF($C590="",0,ROUND($C590*$D590,0))</f>
        <v>0</v>
      </c>
      <c r="F590" s="22"/>
    </row>
    <row r="591" customFormat="false" ht="15" hidden="false" customHeight="false" outlineLevel="0" collapsed="false">
      <c r="A591" s="21"/>
      <c r="B591" s="22"/>
      <c r="C591" s="23"/>
      <c r="D591" s="19" t="str">
        <f aca="false">IF($A591="","",IFERROR(IF(INDEX(tblKasa[Tarih],ROW($A591)-ROW(tblKasa[[#Headers],[Tarih]])+1)=0,RaporTarihi,INDEX(tblKasa[Tarih],ROW($A591)-ROW(tblKasa[[#Headers],[Tarih]])+1))-$A591,RaporTarihi-$A591))</f>
        <v/>
      </c>
      <c r="E591" s="18" t="n">
        <f aca="false">IF($C591="",0,ROUND($C591*$D591,0))</f>
        <v>0</v>
      </c>
      <c r="F591" s="22"/>
    </row>
    <row r="592" customFormat="false" ht="15" hidden="false" customHeight="false" outlineLevel="0" collapsed="false">
      <c r="A592" s="21"/>
      <c r="B592" s="22"/>
      <c r="C592" s="23"/>
      <c r="D592" s="19" t="str">
        <f aca="false">IF($A592="","",IFERROR(IF(INDEX(tblKasa[Tarih],ROW($A592)-ROW(tblKasa[[#Headers],[Tarih]])+1)=0,RaporTarihi,INDEX(tblKasa[Tarih],ROW($A592)-ROW(tblKasa[[#Headers],[Tarih]])+1))-$A592,RaporTarihi-$A592))</f>
        <v/>
      </c>
      <c r="E592" s="18" t="n">
        <f aca="false">IF($C592="",0,ROUND($C592*$D592,0))</f>
        <v>0</v>
      </c>
      <c r="F592" s="22"/>
    </row>
    <row r="593" customFormat="false" ht="15" hidden="false" customHeight="false" outlineLevel="0" collapsed="false">
      <c r="A593" s="21"/>
      <c r="B593" s="22"/>
      <c r="C593" s="23"/>
      <c r="D593" s="19" t="str">
        <f aca="false">IF($A593="","",IFERROR(IF(INDEX(tblKasa[Tarih],ROW($A593)-ROW(tblKasa[[#Headers],[Tarih]])+1)=0,RaporTarihi,INDEX(tblKasa[Tarih],ROW($A593)-ROW(tblKasa[[#Headers],[Tarih]])+1))-$A593,RaporTarihi-$A593))</f>
        <v/>
      </c>
      <c r="E593" s="18" t="n">
        <f aca="false">IF($C593="",0,ROUND($C593*$D593,0))</f>
        <v>0</v>
      </c>
      <c r="F593" s="22"/>
    </row>
    <row r="594" customFormat="false" ht="15" hidden="false" customHeight="false" outlineLevel="0" collapsed="false">
      <c r="A594" s="21"/>
      <c r="B594" s="22"/>
      <c r="C594" s="23"/>
      <c r="D594" s="19" t="str">
        <f aca="false">IF($A594="","",IFERROR(IF(INDEX(tblKasa[Tarih],ROW($A594)-ROW(tblKasa[[#Headers],[Tarih]])+1)=0,RaporTarihi,INDEX(tblKasa[Tarih],ROW($A594)-ROW(tblKasa[[#Headers],[Tarih]])+1))-$A594,RaporTarihi-$A594))</f>
        <v/>
      </c>
      <c r="E594" s="18" t="n">
        <f aca="false">IF($C594="",0,ROUND($C594*$D594,0))</f>
        <v>0</v>
      </c>
      <c r="F594" s="22"/>
    </row>
    <row r="595" customFormat="false" ht="15" hidden="false" customHeight="false" outlineLevel="0" collapsed="false">
      <c r="A595" s="21"/>
      <c r="B595" s="22"/>
      <c r="C595" s="23"/>
      <c r="D595" s="19" t="str">
        <f aca="false">IF($A595="","",IFERROR(IF(INDEX(tblKasa[Tarih],ROW($A595)-ROW(tblKasa[[#Headers],[Tarih]])+1)=0,RaporTarihi,INDEX(tblKasa[Tarih],ROW($A595)-ROW(tblKasa[[#Headers],[Tarih]])+1))-$A595,RaporTarihi-$A595))</f>
        <v/>
      </c>
      <c r="E595" s="18" t="n">
        <f aca="false">IF($C595="",0,ROUND($C595*$D595,0))</f>
        <v>0</v>
      </c>
      <c r="F595" s="22"/>
    </row>
    <row r="596" customFormat="false" ht="15" hidden="false" customHeight="false" outlineLevel="0" collapsed="false">
      <c r="A596" s="21"/>
      <c r="B596" s="22"/>
      <c r="C596" s="23"/>
      <c r="D596" s="19" t="str">
        <f aca="false">IF($A596="","",IFERROR(IF(INDEX(tblKasa[Tarih],ROW($A596)-ROW(tblKasa[[#Headers],[Tarih]])+1)=0,RaporTarihi,INDEX(tblKasa[Tarih],ROW($A596)-ROW(tblKasa[[#Headers],[Tarih]])+1))-$A596,RaporTarihi-$A596))</f>
        <v/>
      </c>
      <c r="E596" s="18" t="n">
        <f aca="false">IF($C596="",0,ROUND($C596*$D596,0))</f>
        <v>0</v>
      </c>
      <c r="F596" s="22"/>
    </row>
    <row r="597" customFormat="false" ht="15" hidden="false" customHeight="false" outlineLevel="0" collapsed="false">
      <c r="A597" s="21"/>
      <c r="B597" s="22"/>
      <c r="C597" s="23"/>
      <c r="D597" s="19" t="str">
        <f aca="false">IF($A597="","",IFERROR(IF(INDEX(tblKasa[Tarih],ROW($A597)-ROW(tblKasa[[#Headers],[Tarih]])+1)=0,RaporTarihi,INDEX(tblKasa[Tarih],ROW($A597)-ROW(tblKasa[[#Headers],[Tarih]])+1))-$A597,RaporTarihi-$A597))</f>
        <v/>
      </c>
      <c r="E597" s="18" t="n">
        <f aca="false">IF($C597="",0,ROUND($C597*$D597,0))</f>
        <v>0</v>
      </c>
      <c r="F597" s="22"/>
    </row>
    <row r="598" customFormat="false" ht="15" hidden="false" customHeight="false" outlineLevel="0" collapsed="false">
      <c r="A598" s="21"/>
      <c r="B598" s="22"/>
      <c r="C598" s="23"/>
      <c r="D598" s="19" t="str">
        <f aca="false">IF($A598="","",IFERROR(IF(INDEX(tblKasa[Tarih],ROW($A598)-ROW(tblKasa[[#Headers],[Tarih]])+1)=0,RaporTarihi,INDEX(tblKasa[Tarih],ROW($A598)-ROW(tblKasa[[#Headers],[Tarih]])+1))-$A598,RaporTarihi-$A598))</f>
        <v/>
      </c>
      <c r="E598" s="18" t="n">
        <f aca="false">IF($C598="",0,ROUND($C598*$D598,0))</f>
        <v>0</v>
      </c>
      <c r="F598" s="22"/>
    </row>
    <row r="599" customFormat="false" ht="15" hidden="false" customHeight="false" outlineLevel="0" collapsed="false">
      <c r="A599" s="21"/>
      <c r="B599" s="22"/>
      <c r="C599" s="23"/>
      <c r="D599" s="19" t="str">
        <f aca="false">IF($A599="","",IFERROR(IF(INDEX(tblKasa[Tarih],ROW($A599)-ROW(tblKasa[[#Headers],[Tarih]])+1)=0,RaporTarihi,INDEX(tblKasa[Tarih],ROW($A599)-ROW(tblKasa[[#Headers],[Tarih]])+1))-$A599,RaporTarihi-$A599))</f>
        <v/>
      </c>
      <c r="E599" s="18" t="n">
        <f aca="false">IF($C599="",0,ROUND($C599*$D599,0))</f>
        <v>0</v>
      </c>
      <c r="F599" s="22"/>
    </row>
    <row r="600" customFormat="false" ht="15" hidden="false" customHeight="false" outlineLevel="0" collapsed="false">
      <c r="A600" s="21"/>
      <c r="B600" s="22"/>
      <c r="C600" s="23"/>
      <c r="D600" s="19" t="str">
        <f aca="false">IF($A600="","",IFERROR(IF(INDEX(tblKasa[Tarih],ROW($A600)-ROW(tblKasa[[#Headers],[Tarih]])+1)=0,RaporTarihi,INDEX(tblKasa[Tarih],ROW($A600)-ROW(tblKasa[[#Headers],[Tarih]])+1))-$A600,RaporTarihi-$A600))</f>
        <v/>
      </c>
      <c r="E600" s="18" t="n">
        <f aca="false">IF($C600="",0,ROUND($C600*$D600,0))</f>
        <v>0</v>
      </c>
      <c r="F600" s="22"/>
    </row>
    <row r="601" customFormat="false" ht="15" hidden="false" customHeight="false" outlineLevel="0" collapsed="false">
      <c r="A601" s="21"/>
      <c r="B601" s="22"/>
      <c r="C601" s="23"/>
      <c r="D601" s="19" t="str">
        <f aca="false">IF($A601="","",IFERROR(IF(INDEX(tblKasa[Tarih],ROW($A601)-ROW(tblKasa[[#Headers],[Tarih]])+1)=0,RaporTarihi,INDEX(tblKasa[Tarih],ROW($A601)-ROW(tblKasa[[#Headers],[Tarih]])+1))-$A601,RaporTarihi-$A601))</f>
        <v/>
      </c>
      <c r="E601" s="18" t="n">
        <f aca="false">IF($C601="",0,ROUND($C601*$D601,0))</f>
        <v>0</v>
      </c>
      <c r="F601" s="22"/>
    </row>
    <row r="602" customFormat="false" ht="15" hidden="false" customHeight="false" outlineLevel="0" collapsed="false">
      <c r="A602" s="21"/>
      <c r="B602" s="22"/>
      <c r="C602" s="23"/>
      <c r="D602" s="19" t="str">
        <f aca="false">IF($A602="","",IFERROR(IF(INDEX(tblKasa[Tarih],ROW($A602)-ROW(tblKasa[[#Headers],[Tarih]])+1)=0,RaporTarihi,INDEX(tblKasa[Tarih],ROW($A602)-ROW(tblKasa[[#Headers],[Tarih]])+1))-$A602,RaporTarihi-$A602))</f>
        <v/>
      </c>
      <c r="E602" s="18" t="n">
        <f aca="false">IF($C602="",0,ROUND($C602*$D602,0))</f>
        <v>0</v>
      </c>
      <c r="F602" s="22"/>
    </row>
    <row r="603" customFormat="false" ht="15" hidden="false" customHeight="false" outlineLevel="0" collapsed="false">
      <c r="A603" s="21"/>
      <c r="B603" s="22"/>
      <c r="C603" s="23"/>
      <c r="D603" s="19" t="str">
        <f aca="false">IF($A603="","",IFERROR(IF(INDEX(tblKasa[Tarih],ROW($A603)-ROW(tblKasa[[#Headers],[Tarih]])+1)=0,RaporTarihi,INDEX(tblKasa[Tarih],ROW($A603)-ROW(tblKasa[[#Headers],[Tarih]])+1))-$A603,RaporTarihi-$A603))</f>
        <v/>
      </c>
      <c r="E603" s="18" t="n">
        <f aca="false">IF($C603="",0,ROUND($C603*$D603,0))</f>
        <v>0</v>
      </c>
      <c r="F603" s="22"/>
    </row>
    <row r="604" customFormat="false" ht="15" hidden="false" customHeight="false" outlineLevel="0" collapsed="false">
      <c r="A604" s="21"/>
      <c r="B604" s="22"/>
      <c r="C604" s="23"/>
      <c r="D604" s="19" t="str">
        <f aca="false">IF($A604="","",IFERROR(IF(INDEX(tblKasa[Tarih],ROW($A604)-ROW(tblKasa[[#Headers],[Tarih]])+1)=0,RaporTarihi,INDEX(tblKasa[Tarih],ROW($A604)-ROW(tblKasa[[#Headers],[Tarih]])+1))-$A604,RaporTarihi-$A604))</f>
        <v/>
      </c>
      <c r="E604" s="18" t="n">
        <f aca="false">IF($C604="",0,ROUND($C604*$D604,0))</f>
        <v>0</v>
      </c>
      <c r="F604" s="22"/>
    </row>
    <row r="605" customFormat="false" ht="15" hidden="false" customHeight="false" outlineLevel="0" collapsed="false">
      <c r="A605" s="21"/>
      <c r="B605" s="22"/>
      <c r="C605" s="23"/>
      <c r="D605" s="19" t="str">
        <f aca="false">IF($A605="","",IFERROR(IF(INDEX(tblKasa[Tarih],ROW($A605)-ROW(tblKasa[[#Headers],[Tarih]])+1)=0,RaporTarihi,INDEX(tblKasa[Tarih],ROW($A605)-ROW(tblKasa[[#Headers],[Tarih]])+1))-$A605,RaporTarihi-$A605))</f>
        <v/>
      </c>
      <c r="E605" s="18" t="n">
        <f aca="false">IF($C605="",0,ROUND($C605*$D605,0))</f>
        <v>0</v>
      </c>
      <c r="F605" s="22"/>
    </row>
    <row r="606" customFormat="false" ht="15" hidden="false" customHeight="false" outlineLevel="0" collapsed="false">
      <c r="A606" s="21"/>
      <c r="B606" s="22"/>
      <c r="C606" s="23"/>
      <c r="D606" s="19" t="str">
        <f aca="false">IF($A606="","",IFERROR(IF(INDEX(tblKasa[Tarih],ROW($A606)-ROW(tblKasa[[#Headers],[Tarih]])+1)=0,RaporTarihi,INDEX(tblKasa[Tarih],ROW($A606)-ROW(tblKasa[[#Headers],[Tarih]])+1))-$A606,RaporTarihi-$A606))</f>
        <v/>
      </c>
      <c r="E606" s="18" t="n">
        <f aca="false">IF($C606="",0,ROUND($C606*$D606,0))</f>
        <v>0</v>
      </c>
      <c r="F606" s="22"/>
    </row>
    <row r="607" customFormat="false" ht="15" hidden="false" customHeight="false" outlineLevel="0" collapsed="false">
      <c r="A607" s="21"/>
      <c r="B607" s="22"/>
      <c r="C607" s="23"/>
      <c r="D607" s="19" t="str">
        <f aca="false">IF($A607="","",IFERROR(IF(INDEX(tblKasa[Tarih],ROW($A607)-ROW(tblKasa[[#Headers],[Tarih]])+1)=0,RaporTarihi,INDEX(tblKasa[Tarih],ROW($A607)-ROW(tblKasa[[#Headers],[Tarih]])+1))-$A607,RaporTarihi-$A607))</f>
        <v/>
      </c>
      <c r="E607" s="18" t="n">
        <f aca="false">IF($C607="",0,ROUND($C607*$D607,0))</f>
        <v>0</v>
      </c>
      <c r="F607" s="22"/>
    </row>
    <row r="608" customFormat="false" ht="15" hidden="false" customHeight="false" outlineLevel="0" collapsed="false">
      <c r="A608" s="21"/>
      <c r="B608" s="22"/>
      <c r="C608" s="23"/>
      <c r="D608" s="19" t="str">
        <f aca="false">IF($A608="","",IFERROR(IF(INDEX(tblKasa[Tarih],ROW($A608)-ROW(tblKasa[[#Headers],[Tarih]])+1)=0,RaporTarihi,INDEX(tblKasa[Tarih],ROW($A608)-ROW(tblKasa[[#Headers],[Tarih]])+1))-$A608,RaporTarihi-$A608))</f>
        <v/>
      </c>
      <c r="E608" s="18" t="n">
        <f aca="false">IF($C608="",0,ROUND($C608*$D608,0))</f>
        <v>0</v>
      </c>
      <c r="F608" s="22"/>
    </row>
    <row r="609" customFormat="false" ht="15" hidden="false" customHeight="false" outlineLevel="0" collapsed="false">
      <c r="A609" s="21"/>
      <c r="B609" s="22"/>
      <c r="C609" s="23"/>
      <c r="D609" s="19" t="str">
        <f aca="false">IF($A609="","",IFERROR(IF(INDEX(tblKasa[Tarih],ROW($A609)-ROW(tblKasa[[#Headers],[Tarih]])+1)=0,RaporTarihi,INDEX(tblKasa[Tarih],ROW($A609)-ROW(tblKasa[[#Headers],[Tarih]])+1))-$A609,RaporTarihi-$A609))</f>
        <v/>
      </c>
      <c r="E609" s="18" t="n">
        <f aca="false">IF($C609="",0,ROUND($C609*$D609,0))</f>
        <v>0</v>
      </c>
      <c r="F609" s="22"/>
    </row>
    <row r="610" customFormat="false" ht="15" hidden="false" customHeight="false" outlineLevel="0" collapsed="false">
      <c r="A610" s="21"/>
      <c r="B610" s="22"/>
      <c r="C610" s="23"/>
      <c r="D610" s="19" t="str">
        <f aca="false">IF($A610="","",IFERROR(IF(INDEX(tblKasa[Tarih],ROW($A610)-ROW(tblKasa[[#Headers],[Tarih]])+1)=0,RaporTarihi,INDEX(tblKasa[Tarih],ROW($A610)-ROW(tblKasa[[#Headers],[Tarih]])+1))-$A610,RaporTarihi-$A610))</f>
        <v/>
      </c>
      <c r="E610" s="18" t="n">
        <f aca="false">IF($C610="",0,ROUND($C610*$D610,0))</f>
        <v>0</v>
      </c>
      <c r="F610" s="22"/>
    </row>
    <row r="611" customFormat="false" ht="15" hidden="false" customHeight="false" outlineLevel="0" collapsed="false">
      <c r="A611" s="21"/>
      <c r="B611" s="22"/>
      <c r="C611" s="23"/>
      <c r="D611" s="19" t="str">
        <f aca="false">IF($A611="","",IFERROR(IF(INDEX(tblKasa[Tarih],ROW($A611)-ROW(tblKasa[[#Headers],[Tarih]])+1)=0,RaporTarihi,INDEX(tblKasa[Tarih],ROW($A611)-ROW(tblKasa[[#Headers],[Tarih]])+1))-$A611,RaporTarihi-$A611))</f>
        <v/>
      </c>
      <c r="E611" s="18" t="n">
        <f aca="false">IF($C611="",0,ROUND($C611*$D611,0))</f>
        <v>0</v>
      </c>
      <c r="F611" s="22"/>
    </row>
    <row r="612" customFormat="false" ht="15" hidden="false" customHeight="false" outlineLevel="0" collapsed="false">
      <c r="A612" s="21"/>
      <c r="B612" s="22"/>
      <c r="C612" s="23"/>
      <c r="D612" s="19" t="str">
        <f aca="false">IF($A612="","",IFERROR(IF(INDEX(tblKasa[Tarih],ROW($A612)-ROW(tblKasa[[#Headers],[Tarih]])+1)=0,RaporTarihi,INDEX(tblKasa[Tarih],ROW($A612)-ROW(tblKasa[[#Headers],[Tarih]])+1))-$A612,RaporTarihi-$A612))</f>
        <v/>
      </c>
      <c r="E612" s="18" t="n">
        <f aca="false">IF($C612="",0,ROUND($C612*$D612,0))</f>
        <v>0</v>
      </c>
      <c r="F612" s="22"/>
    </row>
    <row r="613" customFormat="false" ht="15" hidden="false" customHeight="false" outlineLevel="0" collapsed="false">
      <c r="A613" s="21"/>
      <c r="B613" s="22"/>
      <c r="C613" s="23"/>
      <c r="D613" s="19" t="str">
        <f aca="false">IF($A613="","",IFERROR(IF(INDEX(tblKasa[Tarih],ROW($A613)-ROW(tblKasa[[#Headers],[Tarih]])+1)=0,RaporTarihi,INDEX(tblKasa[Tarih],ROW($A613)-ROW(tblKasa[[#Headers],[Tarih]])+1))-$A613,RaporTarihi-$A613))</f>
        <v/>
      </c>
      <c r="E613" s="18" t="n">
        <f aca="false">IF($C613="",0,ROUND($C613*$D613,0))</f>
        <v>0</v>
      </c>
      <c r="F613" s="22"/>
    </row>
    <row r="614" customFormat="false" ht="15" hidden="false" customHeight="false" outlineLevel="0" collapsed="false">
      <c r="A614" s="21"/>
      <c r="B614" s="22"/>
      <c r="C614" s="23"/>
      <c r="D614" s="19" t="str">
        <f aca="false">IF($A614="","",IFERROR(IF(INDEX(tblKasa[Tarih],ROW($A614)-ROW(tblKasa[[#Headers],[Tarih]])+1)=0,RaporTarihi,INDEX(tblKasa[Tarih],ROW($A614)-ROW(tblKasa[[#Headers],[Tarih]])+1))-$A614,RaporTarihi-$A614))</f>
        <v/>
      </c>
      <c r="E614" s="18" t="n">
        <f aca="false">IF($C614="",0,ROUND($C614*$D614,0))</f>
        <v>0</v>
      </c>
      <c r="F614" s="22"/>
    </row>
    <row r="615" customFormat="false" ht="15" hidden="false" customHeight="false" outlineLevel="0" collapsed="false">
      <c r="A615" s="21"/>
      <c r="B615" s="22"/>
      <c r="C615" s="23"/>
      <c r="D615" s="19" t="str">
        <f aca="false">IF($A615="","",IFERROR(IF(INDEX(tblKasa[Tarih],ROW($A615)-ROW(tblKasa[[#Headers],[Tarih]])+1)=0,RaporTarihi,INDEX(tblKasa[Tarih],ROW($A615)-ROW(tblKasa[[#Headers],[Tarih]])+1))-$A615,RaporTarihi-$A615))</f>
        <v/>
      </c>
      <c r="E615" s="18" t="n">
        <f aca="false">IF($C615="",0,ROUND($C615*$D615,0))</f>
        <v>0</v>
      </c>
      <c r="F615" s="22"/>
    </row>
    <row r="616" customFormat="false" ht="15" hidden="false" customHeight="false" outlineLevel="0" collapsed="false">
      <c r="A616" s="21"/>
      <c r="B616" s="22"/>
      <c r="C616" s="23"/>
      <c r="D616" s="19" t="str">
        <f aca="false">IF($A616="","",IFERROR(IF(INDEX(tblKasa[Tarih],ROW($A616)-ROW(tblKasa[[#Headers],[Tarih]])+1)=0,RaporTarihi,INDEX(tblKasa[Tarih],ROW($A616)-ROW(tblKasa[[#Headers],[Tarih]])+1))-$A616,RaporTarihi-$A616))</f>
        <v/>
      </c>
      <c r="E616" s="18" t="n">
        <f aca="false">IF($C616="",0,ROUND($C616*$D616,0))</f>
        <v>0</v>
      </c>
      <c r="F616" s="22"/>
    </row>
    <row r="617" customFormat="false" ht="15" hidden="false" customHeight="false" outlineLevel="0" collapsed="false">
      <c r="A617" s="21"/>
      <c r="B617" s="22"/>
      <c r="C617" s="23"/>
      <c r="D617" s="19" t="str">
        <f aca="false">IF($A617="","",IFERROR(IF(INDEX(tblKasa[Tarih],ROW($A617)-ROW(tblKasa[[#Headers],[Tarih]])+1)=0,RaporTarihi,INDEX(tblKasa[Tarih],ROW($A617)-ROW(tblKasa[[#Headers],[Tarih]])+1))-$A617,RaporTarihi-$A617))</f>
        <v/>
      </c>
      <c r="E617" s="18" t="n">
        <f aca="false">IF($C617="",0,ROUND($C617*$D617,0))</f>
        <v>0</v>
      </c>
      <c r="F617" s="22"/>
    </row>
    <row r="618" customFormat="false" ht="15" hidden="false" customHeight="false" outlineLevel="0" collapsed="false">
      <c r="A618" s="21"/>
      <c r="B618" s="22"/>
      <c r="C618" s="23"/>
      <c r="D618" s="19" t="str">
        <f aca="false">IF($A618="","",IFERROR(IF(INDEX(tblKasa[Tarih],ROW($A618)-ROW(tblKasa[[#Headers],[Tarih]])+1)=0,RaporTarihi,INDEX(tblKasa[Tarih],ROW($A618)-ROW(tblKasa[[#Headers],[Tarih]])+1))-$A618,RaporTarihi-$A618))</f>
        <v/>
      </c>
      <c r="E618" s="18" t="n">
        <f aca="false">IF($C618="",0,ROUND($C618*$D618,0))</f>
        <v>0</v>
      </c>
      <c r="F618" s="22"/>
    </row>
    <row r="619" customFormat="false" ht="15" hidden="false" customHeight="false" outlineLevel="0" collapsed="false">
      <c r="A619" s="21"/>
      <c r="B619" s="22"/>
      <c r="C619" s="23"/>
      <c r="D619" s="19" t="str">
        <f aca="false">IF($A619="","",IFERROR(IF(INDEX(tblKasa[Tarih],ROW($A619)-ROW(tblKasa[[#Headers],[Tarih]])+1)=0,RaporTarihi,INDEX(tblKasa[Tarih],ROW($A619)-ROW(tblKasa[[#Headers],[Tarih]])+1))-$A619,RaporTarihi-$A619))</f>
        <v/>
      </c>
      <c r="E619" s="18" t="n">
        <f aca="false">IF($C619="",0,ROUND($C619*$D619,0))</f>
        <v>0</v>
      </c>
      <c r="F619" s="22"/>
    </row>
    <row r="620" customFormat="false" ht="15" hidden="false" customHeight="false" outlineLevel="0" collapsed="false">
      <c r="A620" s="21"/>
      <c r="B620" s="22"/>
      <c r="C620" s="23"/>
      <c r="D620" s="19" t="str">
        <f aca="false">IF($A620="","",IFERROR(IF(INDEX(tblKasa[Tarih],ROW($A620)-ROW(tblKasa[[#Headers],[Tarih]])+1)=0,RaporTarihi,INDEX(tblKasa[Tarih],ROW($A620)-ROW(tblKasa[[#Headers],[Tarih]])+1))-$A620,RaporTarihi-$A620))</f>
        <v/>
      </c>
      <c r="E620" s="18" t="n">
        <f aca="false">IF($C620="",0,ROUND($C620*$D620,0))</f>
        <v>0</v>
      </c>
      <c r="F620" s="22"/>
    </row>
    <row r="621" customFormat="false" ht="15" hidden="false" customHeight="false" outlineLevel="0" collapsed="false">
      <c r="A621" s="21"/>
      <c r="B621" s="22"/>
      <c r="C621" s="23"/>
      <c r="D621" s="19" t="str">
        <f aca="false">IF($A621="","",IFERROR(IF(INDEX(tblKasa[Tarih],ROW($A621)-ROW(tblKasa[[#Headers],[Tarih]])+1)=0,RaporTarihi,INDEX(tblKasa[Tarih],ROW($A621)-ROW(tblKasa[[#Headers],[Tarih]])+1))-$A621,RaporTarihi-$A621))</f>
        <v/>
      </c>
      <c r="E621" s="18" t="n">
        <f aca="false">IF($C621="",0,ROUND($C621*$D621,0))</f>
        <v>0</v>
      </c>
      <c r="F621" s="22"/>
    </row>
    <row r="622" customFormat="false" ht="15" hidden="false" customHeight="false" outlineLevel="0" collapsed="false">
      <c r="A622" s="21"/>
      <c r="B622" s="22"/>
      <c r="C622" s="23"/>
      <c r="D622" s="19" t="str">
        <f aca="false">IF($A622="","",IFERROR(IF(INDEX(tblKasa[Tarih],ROW($A622)-ROW(tblKasa[[#Headers],[Tarih]])+1)=0,RaporTarihi,INDEX(tblKasa[Tarih],ROW($A622)-ROW(tblKasa[[#Headers],[Tarih]])+1))-$A622,RaporTarihi-$A622))</f>
        <v/>
      </c>
      <c r="E622" s="18" t="n">
        <f aca="false">IF($C622="",0,ROUND($C622*$D622,0))</f>
        <v>0</v>
      </c>
      <c r="F622" s="22"/>
    </row>
    <row r="623" customFormat="false" ht="15" hidden="false" customHeight="false" outlineLevel="0" collapsed="false">
      <c r="A623" s="21"/>
      <c r="B623" s="22"/>
      <c r="C623" s="23"/>
      <c r="D623" s="19" t="str">
        <f aca="false">IF($A623="","",IFERROR(IF(INDEX(tblKasa[Tarih],ROW($A623)-ROW(tblKasa[[#Headers],[Tarih]])+1)=0,RaporTarihi,INDEX(tblKasa[Tarih],ROW($A623)-ROW(tblKasa[[#Headers],[Tarih]])+1))-$A623,RaporTarihi-$A623))</f>
        <v/>
      </c>
      <c r="E623" s="18" t="n">
        <f aca="false">IF($C623="",0,ROUND($C623*$D623,0))</f>
        <v>0</v>
      </c>
      <c r="F623" s="22"/>
    </row>
    <row r="624" customFormat="false" ht="15" hidden="false" customHeight="false" outlineLevel="0" collapsed="false">
      <c r="A624" s="21"/>
      <c r="B624" s="22"/>
      <c r="C624" s="23"/>
      <c r="D624" s="19" t="str">
        <f aca="false">IF($A624="","",IFERROR(IF(INDEX(tblKasa[Tarih],ROW($A624)-ROW(tblKasa[[#Headers],[Tarih]])+1)=0,RaporTarihi,INDEX(tblKasa[Tarih],ROW($A624)-ROW(tblKasa[[#Headers],[Tarih]])+1))-$A624,RaporTarihi-$A624))</f>
        <v/>
      </c>
      <c r="E624" s="18" t="n">
        <f aca="false">IF($C624="",0,ROUND($C624*$D624,0))</f>
        <v>0</v>
      </c>
      <c r="F624" s="22"/>
    </row>
    <row r="625" customFormat="false" ht="15" hidden="false" customHeight="false" outlineLevel="0" collapsed="false">
      <c r="A625" s="21"/>
      <c r="B625" s="22"/>
      <c r="C625" s="23"/>
      <c r="D625" s="19" t="str">
        <f aca="false">IF($A625="","",IFERROR(IF(INDEX(tblKasa[Tarih],ROW($A625)-ROW(tblKasa[[#Headers],[Tarih]])+1)=0,RaporTarihi,INDEX(tblKasa[Tarih],ROW($A625)-ROW(tblKasa[[#Headers],[Tarih]])+1))-$A625,RaporTarihi-$A625))</f>
        <v/>
      </c>
      <c r="E625" s="18" t="n">
        <f aca="false">IF($C625="",0,ROUND($C625*$D625,0))</f>
        <v>0</v>
      </c>
      <c r="F625" s="22"/>
    </row>
    <row r="626" customFormat="false" ht="15" hidden="false" customHeight="false" outlineLevel="0" collapsed="false">
      <c r="A626" s="21"/>
      <c r="B626" s="22"/>
      <c r="C626" s="23"/>
      <c r="D626" s="19" t="str">
        <f aca="false">IF($A626="","",IFERROR(IF(INDEX(tblKasa[Tarih],ROW($A626)-ROW(tblKasa[[#Headers],[Tarih]])+1)=0,RaporTarihi,INDEX(tblKasa[Tarih],ROW($A626)-ROW(tblKasa[[#Headers],[Tarih]])+1))-$A626,RaporTarihi-$A626))</f>
        <v/>
      </c>
      <c r="E626" s="18" t="n">
        <f aca="false">IF($C626="",0,ROUND($C626*$D626,0))</f>
        <v>0</v>
      </c>
      <c r="F626" s="22"/>
    </row>
    <row r="627" customFormat="false" ht="15" hidden="false" customHeight="false" outlineLevel="0" collapsed="false">
      <c r="A627" s="21"/>
      <c r="B627" s="22"/>
      <c r="C627" s="23"/>
      <c r="D627" s="19" t="str">
        <f aca="false">IF($A627="","",IFERROR(IF(INDEX(tblKasa[Tarih],ROW($A627)-ROW(tblKasa[[#Headers],[Tarih]])+1)=0,RaporTarihi,INDEX(tblKasa[Tarih],ROW($A627)-ROW(tblKasa[[#Headers],[Tarih]])+1))-$A627,RaporTarihi-$A627))</f>
        <v/>
      </c>
      <c r="E627" s="18" t="n">
        <f aca="false">IF($C627="",0,ROUND($C627*$D627,0))</f>
        <v>0</v>
      </c>
      <c r="F627" s="22"/>
    </row>
    <row r="628" customFormat="false" ht="15" hidden="false" customHeight="false" outlineLevel="0" collapsed="false">
      <c r="A628" s="21"/>
      <c r="B628" s="22"/>
      <c r="C628" s="23"/>
      <c r="D628" s="19" t="str">
        <f aca="false">IF($A628="","",IFERROR(IF(INDEX(tblKasa[Tarih],ROW($A628)-ROW(tblKasa[[#Headers],[Tarih]])+1)=0,RaporTarihi,INDEX(tblKasa[Tarih],ROW($A628)-ROW(tblKasa[[#Headers],[Tarih]])+1))-$A628,RaporTarihi-$A628))</f>
        <v/>
      </c>
      <c r="E628" s="18" t="n">
        <f aca="false">IF($C628="",0,ROUND($C628*$D628,0))</f>
        <v>0</v>
      </c>
      <c r="F628" s="22"/>
    </row>
    <row r="629" customFormat="false" ht="15" hidden="false" customHeight="false" outlineLevel="0" collapsed="false">
      <c r="A629" s="21"/>
      <c r="B629" s="22"/>
      <c r="C629" s="23"/>
      <c r="D629" s="19" t="str">
        <f aca="false">IF($A629="","",IFERROR(IF(INDEX(tblKasa[Tarih],ROW($A629)-ROW(tblKasa[[#Headers],[Tarih]])+1)=0,RaporTarihi,INDEX(tblKasa[Tarih],ROW($A629)-ROW(tblKasa[[#Headers],[Tarih]])+1))-$A629,RaporTarihi-$A629))</f>
        <v/>
      </c>
      <c r="E629" s="18" t="n">
        <f aca="false">IF($C629="",0,ROUND($C629*$D629,0))</f>
        <v>0</v>
      </c>
      <c r="F629" s="22"/>
    </row>
    <row r="630" customFormat="false" ht="15" hidden="false" customHeight="false" outlineLevel="0" collapsed="false">
      <c r="A630" s="21"/>
      <c r="B630" s="22"/>
      <c r="C630" s="23"/>
      <c r="D630" s="19" t="str">
        <f aca="false">IF($A630="","",IFERROR(IF(INDEX(tblKasa[Tarih],ROW($A630)-ROW(tblKasa[[#Headers],[Tarih]])+1)=0,RaporTarihi,INDEX(tblKasa[Tarih],ROW($A630)-ROW(tblKasa[[#Headers],[Tarih]])+1))-$A630,RaporTarihi-$A630))</f>
        <v/>
      </c>
      <c r="E630" s="18" t="n">
        <f aca="false">IF($C630="",0,ROUND($C630*$D630,0))</f>
        <v>0</v>
      </c>
      <c r="F630" s="22"/>
    </row>
    <row r="631" customFormat="false" ht="15" hidden="false" customHeight="false" outlineLevel="0" collapsed="false">
      <c r="A631" s="21"/>
      <c r="B631" s="22"/>
      <c r="C631" s="23"/>
      <c r="D631" s="19" t="str">
        <f aca="false">IF($A631="","",IFERROR(IF(INDEX(tblKasa[Tarih],ROW($A631)-ROW(tblKasa[[#Headers],[Tarih]])+1)=0,RaporTarihi,INDEX(tblKasa[Tarih],ROW($A631)-ROW(tblKasa[[#Headers],[Tarih]])+1))-$A631,RaporTarihi-$A631))</f>
        <v/>
      </c>
      <c r="E631" s="18" t="n">
        <f aca="false">IF($C631="",0,ROUND($C631*$D631,0))</f>
        <v>0</v>
      </c>
      <c r="F631" s="22"/>
    </row>
    <row r="632" customFormat="false" ht="15" hidden="false" customHeight="false" outlineLevel="0" collapsed="false">
      <c r="A632" s="21"/>
      <c r="B632" s="22"/>
      <c r="C632" s="23"/>
      <c r="D632" s="19" t="str">
        <f aca="false">IF($A632="","",IFERROR(IF(INDEX(tblKasa[Tarih],ROW($A632)-ROW(tblKasa[[#Headers],[Tarih]])+1)=0,RaporTarihi,INDEX(tblKasa[Tarih],ROW($A632)-ROW(tblKasa[[#Headers],[Tarih]])+1))-$A632,RaporTarihi-$A632))</f>
        <v/>
      </c>
      <c r="E632" s="18" t="n">
        <f aca="false">IF($C632="",0,ROUND($C632*$D632,0))</f>
        <v>0</v>
      </c>
      <c r="F632" s="22"/>
    </row>
    <row r="633" customFormat="false" ht="15" hidden="false" customHeight="false" outlineLevel="0" collapsed="false">
      <c r="A633" s="21"/>
      <c r="B633" s="22"/>
      <c r="C633" s="23"/>
      <c r="D633" s="19" t="str">
        <f aca="false">IF($A633="","",IFERROR(IF(INDEX(tblKasa[Tarih],ROW($A633)-ROW(tblKasa[[#Headers],[Tarih]])+1)=0,RaporTarihi,INDEX(tblKasa[Tarih],ROW($A633)-ROW(tblKasa[[#Headers],[Tarih]])+1))-$A633,RaporTarihi-$A633))</f>
        <v/>
      </c>
      <c r="E633" s="18" t="n">
        <f aca="false">IF($C633="",0,ROUND($C633*$D633,0))</f>
        <v>0</v>
      </c>
      <c r="F633" s="22"/>
    </row>
    <row r="634" customFormat="false" ht="15" hidden="false" customHeight="false" outlineLevel="0" collapsed="false">
      <c r="A634" s="21"/>
      <c r="B634" s="22"/>
      <c r="C634" s="23"/>
      <c r="D634" s="19" t="str">
        <f aca="false">IF($A634="","",IFERROR(IF(INDEX(tblKasa[Tarih],ROW($A634)-ROW(tblKasa[[#Headers],[Tarih]])+1)=0,RaporTarihi,INDEX(tblKasa[Tarih],ROW($A634)-ROW(tblKasa[[#Headers],[Tarih]])+1))-$A634,RaporTarihi-$A634))</f>
        <v/>
      </c>
      <c r="E634" s="18" t="n">
        <f aca="false">IF($C634="",0,ROUND($C634*$D634,0))</f>
        <v>0</v>
      </c>
      <c r="F634" s="22"/>
    </row>
    <row r="635" customFormat="false" ht="15" hidden="false" customHeight="false" outlineLevel="0" collapsed="false">
      <c r="A635" s="21"/>
      <c r="B635" s="22"/>
      <c r="C635" s="23"/>
      <c r="D635" s="19" t="str">
        <f aca="false">IF($A635="","",IFERROR(IF(INDEX(tblKasa[Tarih],ROW($A635)-ROW(tblKasa[[#Headers],[Tarih]])+1)=0,RaporTarihi,INDEX(tblKasa[Tarih],ROW($A635)-ROW(tblKasa[[#Headers],[Tarih]])+1))-$A635,RaporTarihi-$A635))</f>
        <v/>
      </c>
      <c r="E635" s="18" t="n">
        <f aca="false">IF($C635="",0,ROUND($C635*$D635,0))</f>
        <v>0</v>
      </c>
      <c r="F635" s="22"/>
    </row>
    <row r="636" customFormat="false" ht="15" hidden="false" customHeight="false" outlineLevel="0" collapsed="false">
      <c r="A636" s="21"/>
      <c r="B636" s="22"/>
      <c r="C636" s="23"/>
      <c r="D636" s="19" t="str">
        <f aca="false">IF($A636="","",IFERROR(IF(INDEX(tblKasa[Tarih],ROW($A636)-ROW(tblKasa[[#Headers],[Tarih]])+1)=0,RaporTarihi,INDEX(tblKasa[Tarih],ROW($A636)-ROW(tblKasa[[#Headers],[Tarih]])+1))-$A636,RaporTarihi-$A636))</f>
        <v/>
      </c>
      <c r="E636" s="18" t="n">
        <f aca="false">IF($C636="",0,ROUND($C636*$D636,0))</f>
        <v>0</v>
      </c>
      <c r="F636" s="22"/>
    </row>
    <row r="637" customFormat="false" ht="15" hidden="false" customHeight="false" outlineLevel="0" collapsed="false">
      <c r="A637" s="21"/>
      <c r="B637" s="22"/>
      <c r="C637" s="23"/>
      <c r="D637" s="19" t="str">
        <f aca="false">IF($A637="","",IFERROR(IF(INDEX(tblKasa[Tarih],ROW($A637)-ROW(tblKasa[[#Headers],[Tarih]])+1)=0,RaporTarihi,INDEX(tblKasa[Tarih],ROW($A637)-ROW(tblKasa[[#Headers],[Tarih]])+1))-$A637,RaporTarihi-$A637))</f>
        <v/>
      </c>
      <c r="E637" s="18" t="n">
        <f aca="false">IF($C637="",0,ROUND($C637*$D637,0))</f>
        <v>0</v>
      </c>
      <c r="F637" s="22"/>
    </row>
    <row r="638" customFormat="false" ht="15" hidden="false" customHeight="false" outlineLevel="0" collapsed="false">
      <c r="A638" s="21"/>
      <c r="B638" s="22"/>
      <c r="C638" s="23"/>
      <c r="D638" s="19" t="str">
        <f aca="false">IF($A638="","",IFERROR(IF(INDEX(tblKasa[Tarih],ROW($A638)-ROW(tblKasa[[#Headers],[Tarih]])+1)=0,RaporTarihi,INDEX(tblKasa[Tarih],ROW($A638)-ROW(tblKasa[[#Headers],[Tarih]])+1))-$A638,RaporTarihi-$A638))</f>
        <v/>
      </c>
      <c r="E638" s="18" t="n">
        <f aca="false">IF($C638="",0,ROUND($C638*$D638,0))</f>
        <v>0</v>
      </c>
      <c r="F638" s="22"/>
    </row>
    <row r="639" customFormat="false" ht="15" hidden="false" customHeight="false" outlineLevel="0" collapsed="false">
      <c r="A639" s="21"/>
      <c r="B639" s="22"/>
      <c r="C639" s="23"/>
      <c r="D639" s="19" t="str">
        <f aca="false">IF($A639="","",IFERROR(IF(INDEX(tblKasa[Tarih],ROW($A639)-ROW(tblKasa[[#Headers],[Tarih]])+1)=0,RaporTarihi,INDEX(tblKasa[Tarih],ROW($A639)-ROW(tblKasa[[#Headers],[Tarih]])+1))-$A639,RaporTarihi-$A639))</f>
        <v/>
      </c>
      <c r="E639" s="18" t="n">
        <f aca="false">IF($C639="",0,ROUND($C639*$D639,0))</f>
        <v>0</v>
      </c>
      <c r="F639" s="22"/>
    </row>
    <row r="640" customFormat="false" ht="15" hidden="false" customHeight="false" outlineLevel="0" collapsed="false">
      <c r="A640" s="21"/>
      <c r="B640" s="22"/>
      <c r="C640" s="23"/>
      <c r="D640" s="19" t="str">
        <f aca="false">IF($A640="","",IFERROR(IF(INDEX(tblKasa[Tarih],ROW($A640)-ROW(tblKasa[[#Headers],[Tarih]])+1)=0,RaporTarihi,INDEX(tblKasa[Tarih],ROW($A640)-ROW(tblKasa[[#Headers],[Tarih]])+1))-$A640,RaporTarihi-$A640))</f>
        <v/>
      </c>
      <c r="E640" s="18" t="n">
        <f aca="false">IF($C640="",0,ROUND($C640*$D640,0))</f>
        <v>0</v>
      </c>
      <c r="F640" s="22"/>
    </row>
    <row r="641" customFormat="false" ht="15" hidden="false" customHeight="false" outlineLevel="0" collapsed="false">
      <c r="A641" s="21"/>
      <c r="B641" s="22"/>
      <c r="C641" s="23"/>
      <c r="D641" s="19" t="str">
        <f aca="false">IF($A641="","",IFERROR(IF(INDEX(tblKasa[Tarih],ROW($A641)-ROW(tblKasa[[#Headers],[Tarih]])+1)=0,RaporTarihi,INDEX(tblKasa[Tarih],ROW($A641)-ROW(tblKasa[[#Headers],[Tarih]])+1))-$A641,RaporTarihi-$A641))</f>
        <v/>
      </c>
      <c r="E641" s="18" t="n">
        <f aca="false">IF($C641="",0,ROUND($C641*$D641,0))</f>
        <v>0</v>
      </c>
      <c r="F641" s="22"/>
    </row>
    <row r="642" customFormat="false" ht="15" hidden="false" customHeight="false" outlineLevel="0" collapsed="false">
      <c r="A642" s="21"/>
      <c r="B642" s="22"/>
      <c r="C642" s="23"/>
      <c r="D642" s="19" t="str">
        <f aca="false">IF($A642="","",IFERROR(IF(INDEX(tblKasa[Tarih],ROW($A642)-ROW(tblKasa[[#Headers],[Tarih]])+1)=0,RaporTarihi,INDEX(tblKasa[Tarih],ROW($A642)-ROW(tblKasa[[#Headers],[Tarih]])+1))-$A642,RaporTarihi-$A642))</f>
        <v/>
      </c>
      <c r="E642" s="18" t="n">
        <f aca="false">IF($C642="",0,ROUND($C642*$D642,0))</f>
        <v>0</v>
      </c>
      <c r="F642" s="22"/>
    </row>
    <row r="643" customFormat="false" ht="15" hidden="false" customHeight="false" outlineLevel="0" collapsed="false">
      <c r="A643" s="21"/>
      <c r="B643" s="22"/>
      <c r="C643" s="23"/>
      <c r="D643" s="19" t="str">
        <f aca="false">IF($A643="","",IFERROR(IF(INDEX(tblKasa[Tarih],ROW($A643)-ROW(tblKasa[[#Headers],[Tarih]])+1)=0,RaporTarihi,INDEX(tblKasa[Tarih],ROW($A643)-ROW(tblKasa[[#Headers],[Tarih]])+1))-$A643,RaporTarihi-$A643))</f>
        <v/>
      </c>
      <c r="E643" s="18" t="n">
        <f aca="false">IF($C643="",0,ROUND($C643*$D643,0))</f>
        <v>0</v>
      </c>
      <c r="F643" s="22"/>
    </row>
    <row r="644" customFormat="false" ht="15" hidden="false" customHeight="false" outlineLevel="0" collapsed="false">
      <c r="A644" s="21"/>
      <c r="B644" s="22"/>
      <c r="C644" s="23"/>
      <c r="D644" s="19" t="str">
        <f aca="false">IF($A644="","",IFERROR(IF(INDEX(tblKasa[Tarih],ROW($A644)-ROW(tblKasa[[#Headers],[Tarih]])+1)=0,RaporTarihi,INDEX(tblKasa[Tarih],ROW($A644)-ROW(tblKasa[[#Headers],[Tarih]])+1))-$A644,RaporTarihi-$A644))</f>
        <v/>
      </c>
      <c r="E644" s="18" t="n">
        <f aca="false">IF($C644="",0,ROUND($C644*$D644,0))</f>
        <v>0</v>
      </c>
      <c r="F644" s="22"/>
    </row>
    <row r="645" customFormat="false" ht="15" hidden="false" customHeight="false" outlineLevel="0" collapsed="false">
      <c r="A645" s="21"/>
      <c r="B645" s="22"/>
      <c r="C645" s="23"/>
      <c r="D645" s="19" t="str">
        <f aca="false">IF($A645="","",IFERROR(IF(INDEX(tblKasa[Tarih],ROW($A645)-ROW(tblKasa[[#Headers],[Tarih]])+1)=0,RaporTarihi,INDEX(tblKasa[Tarih],ROW($A645)-ROW(tblKasa[[#Headers],[Tarih]])+1))-$A645,RaporTarihi-$A645))</f>
        <v/>
      </c>
      <c r="E645" s="18" t="n">
        <f aca="false">IF($C645="",0,ROUND($C645*$D645,0))</f>
        <v>0</v>
      </c>
      <c r="F645" s="22"/>
    </row>
    <row r="646" customFormat="false" ht="15" hidden="false" customHeight="false" outlineLevel="0" collapsed="false">
      <c r="A646" s="21"/>
      <c r="B646" s="22"/>
      <c r="C646" s="23"/>
      <c r="D646" s="19" t="str">
        <f aca="false">IF($A646="","",IFERROR(IF(INDEX(tblKasa[Tarih],ROW($A646)-ROW(tblKasa[[#Headers],[Tarih]])+1)=0,RaporTarihi,INDEX(tblKasa[Tarih],ROW($A646)-ROW(tblKasa[[#Headers],[Tarih]])+1))-$A646,RaporTarihi-$A646))</f>
        <v/>
      </c>
      <c r="E646" s="18" t="n">
        <f aca="false">IF($C646="",0,ROUND($C646*$D646,0))</f>
        <v>0</v>
      </c>
      <c r="F646" s="22"/>
    </row>
    <row r="647" customFormat="false" ht="15" hidden="false" customHeight="false" outlineLevel="0" collapsed="false">
      <c r="A647" s="21"/>
      <c r="B647" s="22"/>
      <c r="C647" s="23"/>
      <c r="D647" s="19" t="str">
        <f aca="false">IF($A647="","",IFERROR(IF(INDEX(tblKasa[Tarih],ROW($A647)-ROW(tblKasa[[#Headers],[Tarih]])+1)=0,RaporTarihi,INDEX(tblKasa[Tarih],ROW($A647)-ROW(tblKasa[[#Headers],[Tarih]])+1))-$A647,RaporTarihi-$A647))</f>
        <v/>
      </c>
      <c r="E647" s="18" t="n">
        <f aca="false">IF($C647="",0,ROUND($C647*$D647,0))</f>
        <v>0</v>
      </c>
      <c r="F647" s="22"/>
    </row>
    <row r="648" customFormat="false" ht="15" hidden="false" customHeight="false" outlineLevel="0" collapsed="false">
      <c r="A648" s="21"/>
      <c r="B648" s="22"/>
      <c r="C648" s="23"/>
      <c r="D648" s="19" t="str">
        <f aca="false">IF($A648="","",IFERROR(IF(INDEX(tblKasa[Tarih],ROW($A648)-ROW(tblKasa[[#Headers],[Tarih]])+1)=0,RaporTarihi,INDEX(tblKasa[Tarih],ROW($A648)-ROW(tblKasa[[#Headers],[Tarih]])+1))-$A648,RaporTarihi-$A648))</f>
        <v/>
      </c>
      <c r="E648" s="18" t="n">
        <f aca="false">IF($C648="",0,ROUND($C648*$D648,0))</f>
        <v>0</v>
      </c>
      <c r="F648" s="22"/>
    </row>
    <row r="649" customFormat="false" ht="15" hidden="false" customHeight="false" outlineLevel="0" collapsed="false">
      <c r="A649" s="21"/>
      <c r="B649" s="22"/>
      <c r="C649" s="23"/>
      <c r="D649" s="19" t="str">
        <f aca="false">IF($A649="","",IFERROR(IF(INDEX(tblKasa[Tarih],ROW($A649)-ROW(tblKasa[[#Headers],[Tarih]])+1)=0,RaporTarihi,INDEX(tblKasa[Tarih],ROW($A649)-ROW(tblKasa[[#Headers],[Tarih]])+1))-$A649,RaporTarihi-$A649))</f>
        <v/>
      </c>
      <c r="E649" s="18" t="n">
        <f aca="false">IF($C649="",0,ROUND($C649*$D649,0))</f>
        <v>0</v>
      </c>
      <c r="F649" s="22"/>
    </row>
    <row r="650" customFormat="false" ht="15" hidden="false" customHeight="false" outlineLevel="0" collapsed="false">
      <c r="A650" s="21"/>
      <c r="B650" s="22"/>
      <c r="C650" s="23"/>
      <c r="D650" s="19" t="str">
        <f aca="false">IF($A650="","",IFERROR(IF(INDEX(tblKasa[Tarih],ROW($A650)-ROW(tblKasa[[#Headers],[Tarih]])+1)=0,RaporTarihi,INDEX(tblKasa[Tarih],ROW($A650)-ROW(tblKasa[[#Headers],[Tarih]])+1))-$A650,RaporTarihi-$A650))</f>
        <v/>
      </c>
      <c r="E650" s="18" t="n">
        <f aca="false">IF($C650="",0,ROUND($C650*$D650,0))</f>
        <v>0</v>
      </c>
      <c r="F650" s="22"/>
    </row>
    <row r="651" customFormat="false" ht="15" hidden="false" customHeight="false" outlineLevel="0" collapsed="false">
      <c r="A651" s="21"/>
      <c r="B651" s="22"/>
      <c r="C651" s="23"/>
      <c r="D651" s="19" t="str">
        <f aca="false">IF($A651="","",IFERROR(IF(INDEX(tblKasa[Tarih],ROW($A651)-ROW(tblKasa[[#Headers],[Tarih]])+1)=0,RaporTarihi,INDEX(tblKasa[Tarih],ROW($A651)-ROW(tblKasa[[#Headers],[Tarih]])+1))-$A651,RaporTarihi-$A651))</f>
        <v/>
      </c>
      <c r="E651" s="18" t="n">
        <f aca="false">IF($C651="",0,ROUND($C651*$D651,0))</f>
        <v>0</v>
      </c>
      <c r="F651" s="22"/>
    </row>
    <row r="652" customFormat="false" ht="15" hidden="false" customHeight="false" outlineLevel="0" collapsed="false">
      <c r="A652" s="21"/>
      <c r="B652" s="22"/>
      <c r="C652" s="23"/>
      <c r="D652" s="19" t="str">
        <f aca="false">IF($A652="","",IFERROR(IF(INDEX(tblKasa[Tarih],ROW($A652)-ROW(tblKasa[[#Headers],[Tarih]])+1)=0,RaporTarihi,INDEX(tblKasa[Tarih],ROW($A652)-ROW(tblKasa[[#Headers],[Tarih]])+1))-$A652,RaporTarihi-$A652))</f>
        <v/>
      </c>
      <c r="E652" s="18" t="n">
        <f aca="false">IF($C652="",0,ROUND($C652*$D652,0))</f>
        <v>0</v>
      </c>
      <c r="F652" s="22"/>
    </row>
    <row r="653" customFormat="false" ht="15" hidden="false" customHeight="false" outlineLevel="0" collapsed="false">
      <c r="A653" s="21"/>
      <c r="B653" s="22"/>
      <c r="C653" s="23"/>
      <c r="D653" s="19" t="str">
        <f aca="false">IF($A653="","",IFERROR(IF(INDEX(tblKasa[Tarih],ROW($A653)-ROW(tblKasa[[#Headers],[Tarih]])+1)=0,RaporTarihi,INDEX(tblKasa[Tarih],ROW($A653)-ROW(tblKasa[[#Headers],[Tarih]])+1))-$A653,RaporTarihi-$A653))</f>
        <v/>
      </c>
      <c r="E653" s="18" t="n">
        <f aca="false">IF($C653="",0,ROUND($C653*$D653,0))</f>
        <v>0</v>
      </c>
      <c r="F653" s="22"/>
    </row>
    <row r="654" customFormat="false" ht="15" hidden="false" customHeight="false" outlineLevel="0" collapsed="false">
      <c r="A654" s="21"/>
      <c r="B654" s="22"/>
      <c r="C654" s="23"/>
      <c r="D654" s="19" t="str">
        <f aca="false">IF($A654="","",IFERROR(IF(INDEX(tblKasa[Tarih],ROW($A654)-ROW(tblKasa[[#Headers],[Tarih]])+1)=0,RaporTarihi,INDEX(tblKasa[Tarih],ROW($A654)-ROW(tblKasa[[#Headers],[Tarih]])+1))-$A654,RaporTarihi-$A654))</f>
        <v/>
      </c>
      <c r="E654" s="18" t="n">
        <f aca="false">IF($C654="",0,ROUND($C654*$D654,0))</f>
        <v>0</v>
      </c>
      <c r="F654" s="22"/>
    </row>
    <row r="655" customFormat="false" ht="15" hidden="false" customHeight="false" outlineLevel="0" collapsed="false">
      <c r="A655" s="21"/>
      <c r="B655" s="22"/>
      <c r="C655" s="23"/>
      <c r="D655" s="19" t="str">
        <f aca="false">IF($A655="","",IFERROR(IF(INDEX(tblKasa[Tarih],ROW($A655)-ROW(tblKasa[[#Headers],[Tarih]])+1)=0,RaporTarihi,INDEX(tblKasa[Tarih],ROW($A655)-ROW(tblKasa[[#Headers],[Tarih]])+1))-$A655,RaporTarihi-$A655))</f>
        <v/>
      </c>
      <c r="E655" s="18" t="n">
        <f aca="false">IF($C655="",0,ROUND($C655*$D655,0))</f>
        <v>0</v>
      </c>
      <c r="F655" s="22"/>
    </row>
    <row r="656" customFormat="false" ht="15" hidden="false" customHeight="false" outlineLevel="0" collapsed="false">
      <c r="A656" s="21"/>
      <c r="B656" s="22"/>
      <c r="C656" s="23"/>
      <c r="D656" s="19" t="str">
        <f aca="false">IF($A656="","",IFERROR(IF(INDEX(tblKasa[Tarih],ROW($A656)-ROW(tblKasa[[#Headers],[Tarih]])+1)=0,RaporTarihi,INDEX(tblKasa[Tarih],ROW($A656)-ROW(tblKasa[[#Headers],[Tarih]])+1))-$A656,RaporTarihi-$A656))</f>
        <v/>
      </c>
      <c r="E656" s="18" t="n">
        <f aca="false">IF($C656="",0,ROUND($C656*$D656,0))</f>
        <v>0</v>
      </c>
      <c r="F656" s="22"/>
    </row>
    <row r="657" customFormat="false" ht="15" hidden="false" customHeight="false" outlineLevel="0" collapsed="false">
      <c r="A657" s="21"/>
      <c r="B657" s="22"/>
      <c r="C657" s="23"/>
      <c r="D657" s="19" t="str">
        <f aca="false">IF($A657="","",IFERROR(IF(INDEX(tblKasa[Tarih],ROW($A657)-ROW(tblKasa[[#Headers],[Tarih]])+1)=0,RaporTarihi,INDEX(tblKasa[Tarih],ROW($A657)-ROW(tblKasa[[#Headers],[Tarih]])+1))-$A657,RaporTarihi-$A657))</f>
        <v/>
      </c>
      <c r="E657" s="18" t="n">
        <f aca="false">IF($C657="",0,ROUND($C657*$D657,0))</f>
        <v>0</v>
      </c>
      <c r="F657" s="22"/>
    </row>
    <row r="658" customFormat="false" ht="15" hidden="false" customHeight="false" outlineLevel="0" collapsed="false">
      <c r="A658" s="21"/>
      <c r="B658" s="22"/>
      <c r="C658" s="23"/>
      <c r="D658" s="19" t="str">
        <f aca="false">IF($A658="","",IFERROR(IF(INDEX(tblKasa[Tarih],ROW($A658)-ROW(tblKasa[[#Headers],[Tarih]])+1)=0,RaporTarihi,INDEX(tblKasa[Tarih],ROW($A658)-ROW(tblKasa[[#Headers],[Tarih]])+1))-$A658,RaporTarihi-$A658))</f>
        <v/>
      </c>
      <c r="E658" s="18" t="n">
        <f aca="false">IF($C658="",0,ROUND($C658*$D658,0))</f>
        <v>0</v>
      </c>
      <c r="F658" s="22"/>
    </row>
    <row r="659" customFormat="false" ht="15" hidden="false" customHeight="false" outlineLevel="0" collapsed="false">
      <c r="A659" s="21"/>
      <c r="B659" s="22"/>
      <c r="C659" s="23"/>
      <c r="D659" s="19" t="str">
        <f aca="false">IF($A659="","",IFERROR(IF(INDEX(tblKasa[Tarih],ROW($A659)-ROW(tblKasa[[#Headers],[Tarih]])+1)=0,RaporTarihi,INDEX(tblKasa[Tarih],ROW($A659)-ROW(tblKasa[[#Headers],[Tarih]])+1))-$A659,RaporTarihi-$A659))</f>
        <v/>
      </c>
      <c r="E659" s="18" t="n">
        <f aca="false">IF($C659="",0,ROUND($C659*$D659,0))</f>
        <v>0</v>
      </c>
      <c r="F659" s="22"/>
    </row>
    <row r="660" customFormat="false" ht="15" hidden="false" customHeight="false" outlineLevel="0" collapsed="false">
      <c r="A660" s="21"/>
      <c r="B660" s="22"/>
      <c r="C660" s="23"/>
      <c r="D660" s="19" t="str">
        <f aca="false">IF($A660="","",IFERROR(IF(INDEX(tblKasa[Tarih],ROW($A660)-ROW(tblKasa[[#Headers],[Tarih]])+1)=0,RaporTarihi,INDEX(tblKasa[Tarih],ROW($A660)-ROW(tblKasa[[#Headers],[Tarih]])+1))-$A660,RaporTarihi-$A660))</f>
        <v/>
      </c>
      <c r="E660" s="18" t="n">
        <f aca="false">IF($C660="",0,ROUND($C660*$D660,0))</f>
        <v>0</v>
      </c>
      <c r="F660" s="22"/>
    </row>
    <row r="661" customFormat="false" ht="15" hidden="false" customHeight="false" outlineLevel="0" collapsed="false">
      <c r="A661" s="21"/>
      <c r="B661" s="22"/>
      <c r="C661" s="23"/>
      <c r="D661" s="19" t="str">
        <f aca="false">IF($A661="","",IFERROR(IF(INDEX(tblKasa[Tarih],ROW($A661)-ROW(tblKasa[[#Headers],[Tarih]])+1)=0,RaporTarihi,INDEX(tblKasa[Tarih],ROW($A661)-ROW(tblKasa[[#Headers],[Tarih]])+1))-$A661,RaporTarihi-$A661))</f>
        <v/>
      </c>
      <c r="E661" s="18" t="n">
        <f aca="false">IF($C661="",0,ROUND($C661*$D661,0))</f>
        <v>0</v>
      </c>
      <c r="F661" s="22"/>
    </row>
    <row r="662" customFormat="false" ht="15" hidden="false" customHeight="false" outlineLevel="0" collapsed="false">
      <c r="A662" s="21"/>
      <c r="B662" s="22"/>
      <c r="C662" s="23"/>
      <c r="D662" s="19" t="str">
        <f aca="false">IF($A662="","",IFERROR(IF(INDEX(tblKasa[Tarih],ROW($A662)-ROW(tblKasa[[#Headers],[Tarih]])+1)=0,RaporTarihi,INDEX(tblKasa[Tarih],ROW($A662)-ROW(tblKasa[[#Headers],[Tarih]])+1))-$A662,RaporTarihi-$A662))</f>
        <v/>
      </c>
      <c r="E662" s="18" t="n">
        <f aca="false">IF($C662="",0,ROUND($C662*$D662,0))</f>
        <v>0</v>
      </c>
      <c r="F662" s="22"/>
    </row>
    <row r="663" customFormat="false" ht="15" hidden="false" customHeight="false" outlineLevel="0" collapsed="false">
      <c r="A663" s="21"/>
      <c r="B663" s="22"/>
      <c r="C663" s="23"/>
      <c r="D663" s="19" t="str">
        <f aca="false">IF($A663="","",IFERROR(IF(INDEX(tblKasa[Tarih],ROW($A663)-ROW(tblKasa[[#Headers],[Tarih]])+1)=0,RaporTarihi,INDEX(tblKasa[Tarih],ROW($A663)-ROW(tblKasa[[#Headers],[Tarih]])+1))-$A663,RaporTarihi-$A663))</f>
        <v/>
      </c>
      <c r="E663" s="18" t="n">
        <f aca="false">IF($C663="",0,ROUND($C663*$D663,0))</f>
        <v>0</v>
      </c>
      <c r="F663" s="22"/>
    </row>
    <row r="664" customFormat="false" ht="15" hidden="false" customHeight="false" outlineLevel="0" collapsed="false">
      <c r="A664" s="21"/>
      <c r="B664" s="22"/>
      <c r="C664" s="23"/>
      <c r="D664" s="19" t="str">
        <f aca="false">IF($A664="","",IFERROR(IF(INDEX(tblKasa[Tarih],ROW($A664)-ROW(tblKasa[[#Headers],[Tarih]])+1)=0,RaporTarihi,INDEX(tblKasa[Tarih],ROW($A664)-ROW(tblKasa[[#Headers],[Tarih]])+1))-$A664,RaporTarihi-$A664))</f>
        <v/>
      </c>
      <c r="E664" s="18" t="n">
        <f aca="false">IF($C664="",0,ROUND($C664*$D664,0))</f>
        <v>0</v>
      </c>
      <c r="F664" s="22"/>
    </row>
    <row r="665" customFormat="false" ht="15" hidden="false" customHeight="false" outlineLevel="0" collapsed="false">
      <c r="A665" s="21"/>
      <c r="B665" s="22"/>
      <c r="C665" s="23"/>
      <c r="D665" s="19" t="str">
        <f aca="false">IF($A665="","",IFERROR(IF(INDEX(tblKasa[Tarih],ROW($A665)-ROW(tblKasa[[#Headers],[Tarih]])+1)=0,RaporTarihi,INDEX(tblKasa[Tarih],ROW($A665)-ROW(tblKasa[[#Headers],[Tarih]])+1))-$A665,RaporTarihi-$A665))</f>
        <v/>
      </c>
      <c r="E665" s="18" t="n">
        <f aca="false">IF($C665="",0,ROUND($C665*$D665,0))</f>
        <v>0</v>
      </c>
      <c r="F665" s="22"/>
    </row>
    <row r="666" customFormat="false" ht="15" hidden="false" customHeight="false" outlineLevel="0" collapsed="false">
      <c r="A666" s="21"/>
      <c r="B666" s="22"/>
      <c r="C666" s="23"/>
      <c r="D666" s="19" t="str">
        <f aca="false">IF($A666="","",IFERROR(IF(INDEX(tblKasa[Tarih],ROW($A666)-ROW(tblKasa[[#Headers],[Tarih]])+1)=0,RaporTarihi,INDEX(tblKasa[Tarih],ROW($A666)-ROW(tblKasa[[#Headers],[Tarih]])+1))-$A666,RaporTarihi-$A666))</f>
        <v/>
      </c>
      <c r="E666" s="18" t="n">
        <f aca="false">IF($C666="",0,ROUND($C666*$D666,0))</f>
        <v>0</v>
      </c>
      <c r="F666" s="22"/>
    </row>
    <row r="667" customFormat="false" ht="15" hidden="false" customHeight="false" outlineLevel="0" collapsed="false">
      <c r="A667" s="21"/>
      <c r="B667" s="22"/>
      <c r="C667" s="23"/>
      <c r="D667" s="19" t="str">
        <f aca="false">IF($A667="","",IFERROR(IF(INDEX(tblKasa[Tarih],ROW($A667)-ROW(tblKasa[[#Headers],[Tarih]])+1)=0,RaporTarihi,INDEX(tblKasa[Tarih],ROW($A667)-ROW(tblKasa[[#Headers],[Tarih]])+1))-$A667,RaporTarihi-$A667))</f>
        <v/>
      </c>
      <c r="E667" s="18" t="n">
        <f aca="false">IF($C667="",0,ROUND($C667*$D667,0))</f>
        <v>0</v>
      </c>
      <c r="F667" s="22"/>
    </row>
    <row r="668" customFormat="false" ht="15" hidden="false" customHeight="false" outlineLevel="0" collapsed="false">
      <c r="A668" s="21"/>
      <c r="B668" s="22"/>
      <c r="C668" s="23"/>
      <c r="D668" s="19" t="str">
        <f aca="false">IF($A668="","",IFERROR(IF(INDEX(tblKasa[Tarih],ROW($A668)-ROW(tblKasa[[#Headers],[Tarih]])+1)=0,RaporTarihi,INDEX(tblKasa[Tarih],ROW($A668)-ROW(tblKasa[[#Headers],[Tarih]])+1))-$A668,RaporTarihi-$A668))</f>
        <v/>
      </c>
      <c r="E668" s="18" t="n">
        <f aca="false">IF($C668="",0,ROUND($C668*$D668,0))</f>
        <v>0</v>
      </c>
      <c r="F668" s="22"/>
    </row>
    <row r="669" customFormat="false" ht="15" hidden="false" customHeight="false" outlineLevel="0" collapsed="false">
      <c r="A669" s="21"/>
      <c r="B669" s="22"/>
      <c r="C669" s="23"/>
      <c r="D669" s="19" t="str">
        <f aca="false">IF($A669="","",IFERROR(IF(INDEX(tblKasa[Tarih],ROW($A669)-ROW(tblKasa[[#Headers],[Tarih]])+1)=0,RaporTarihi,INDEX(tblKasa[Tarih],ROW($A669)-ROW(tblKasa[[#Headers],[Tarih]])+1))-$A669,RaporTarihi-$A669))</f>
        <v/>
      </c>
      <c r="E669" s="18" t="n">
        <f aca="false">IF($C669="",0,ROUND($C669*$D669,0))</f>
        <v>0</v>
      </c>
      <c r="F669" s="22"/>
    </row>
    <row r="670" customFormat="false" ht="15" hidden="false" customHeight="false" outlineLevel="0" collapsed="false">
      <c r="A670" s="21"/>
      <c r="B670" s="22"/>
      <c r="C670" s="23"/>
      <c r="D670" s="19" t="str">
        <f aca="false">IF($A670="","",IFERROR(IF(INDEX(tblKasa[Tarih],ROW($A670)-ROW(tblKasa[[#Headers],[Tarih]])+1)=0,RaporTarihi,INDEX(tblKasa[Tarih],ROW($A670)-ROW(tblKasa[[#Headers],[Tarih]])+1))-$A670,RaporTarihi-$A670))</f>
        <v/>
      </c>
      <c r="E670" s="18" t="n">
        <f aca="false">IF($C670="",0,ROUND($C670*$D670,0))</f>
        <v>0</v>
      </c>
      <c r="F670" s="22"/>
    </row>
    <row r="671" customFormat="false" ht="15" hidden="false" customHeight="false" outlineLevel="0" collapsed="false">
      <c r="A671" s="21"/>
      <c r="B671" s="22"/>
      <c r="C671" s="23"/>
      <c r="D671" s="19" t="str">
        <f aca="false">IF($A671="","",IFERROR(IF(INDEX(tblKasa[Tarih],ROW($A671)-ROW(tblKasa[[#Headers],[Tarih]])+1)=0,RaporTarihi,INDEX(tblKasa[Tarih],ROW($A671)-ROW(tblKasa[[#Headers],[Tarih]])+1))-$A671,RaporTarihi-$A671))</f>
        <v/>
      </c>
      <c r="E671" s="18" t="n">
        <f aca="false">IF($C671="",0,ROUND($C671*$D671,0))</f>
        <v>0</v>
      </c>
      <c r="F671" s="22"/>
    </row>
    <row r="672" customFormat="false" ht="15" hidden="false" customHeight="false" outlineLevel="0" collapsed="false">
      <c r="A672" s="21"/>
      <c r="B672" s="22"/>
      <c r="C672" s="23"/>
      <c r="D672" s="19" t="str">
        <f aca="false">IF($A672="","",IFERROR(IF(INDEX(tblKasa[Tarih],ROW($A672)-ROW(tblKasa[[#Headers],[Tarih]])+1)=0,RaporTarihi,INDEX(tblKasa[Tarih],ROW($A672)-ROW(tblKasa[[#Headers],[Tarih]])+1))-$A672,RaporTarihi-$A672))</f>
        <v/>
      </c>
      <c r="E672" s="18" t="n">
        <f aca="false">IF($C672="",0,ROUND($C672*$D672,0))</f>
        <v>0</v>
      </c>
      <c r="F672" s="22"/>
    </row>
    <row r="673" customFormat="false" ht="15" hidden="false" customHeight="false" outlineLevel="0" collapsed="false">
      <c r="A673" s="21"/>
      <c r="B673" s="22"/>
      <c r="C673" s="23"/>
      <c r="D673" s="19" t="str">
        <f aca="false">IF($A673="","",IFERROR(IF(INDEX(tblKasa[Tarih],ROW($A673)-ROW(tblKasa[[#Headers],[Tarih]])+1)=0,RaporTarihi,INDEX(tblKasa[Tarih],ROW($A673)-ROW(tblKasa[[#Headers],[Tarih]])+1))-$A673,RaporTarihi-$A673))</f>
        <v/>
      </c>
      <c r="E673" s="18" t="n">
        <f aca="false">IF($C673="",0,ROUND($C673*$D673,0))</f>
        <v>0</v>
      </c>
      <c r="F673" s="22"/>
    </row>
    <row r="674" customFormat="false" ht="15" hidden="false" customHeight="false" outlineLevel="0" collapsed="false">
      <c r="A674" s="21"/>
      <c r="B674" s="22"/>
      <c r="C674" s="23"/>
      <c r="D674" s="19" t="str">
        <f aca="false">IF($A674="","",IFERROR(IF(INDEX(tblKasa[Tarih],ROW($A674)-ROW(tblKasa[[#Headers],[Tarih]])+1)=0,RaporTarihi,INDEX(tblKasa[Tarih],ROW($A674)-ROW(tblKasa[[#Headers],[Tarih]])+1))-$A674,RaporTarihi-$A674))</f>
        <v/>
      </c>
      <c r="E674" s="18" t="n">
        <f aca="false">IF($C674="",0,ROUND($C674*$D674,0))</f>
        <v>0</v>
      </c>
      <c r="F674" s="22"/>
    </row>
    <row r="675" customFormat="false" ht="15" hidden="false" customHeight="false" outlineLevel="0" collapsed="false">
      <c r="A675" s="21"/>
      <c r="B675" s="22"/>
      <c r="C675" s="23"/>
      <c r="D675" s="19" t="str">
        <f aca="false">IF($A675="","",IFERROR(IF(INDEX(tblKasa[Tarih],ROW($A675)-ROW(tblKasa[[#Headers],[Tarih]])+1)=0,RaporTarihi,INDEX(tblKasa[Tarih],ROW($A675)-ROW(tblKasa[[#Headers],[Tarih]])+1))-$A675,RaporTarihi-$A675))</f>
        <v/>
      </c>
      <c r="E675" s="18" t="n">
        <f aca="false">IF($C675="",0,ROUND($C675*$D675,0))</f>
        <v>0</v>
      </c>
      <c r="F675" s="22"/>
    </row>
    <row r="676" customFormat="false" ht="15" hidden="false" customHeight="false" outlineLevel="0" collapsed="false">
      <c r="A676" s="21"/>
      <c r="B676" s="22"/>
      <c r="C676" s="23"/>
      <c r="D676" s="19" t="str">
        <f aca="false">IF($A676="","",IFERROR(IF(INDEX(tblKasa[Tarih],ROW($A676)-ROW(tblKasa[[#Headers],[Tarih]])+1)=0,RaporTarihi,INDEX(tblKasa[Tarih],ROW($A676)-ROW(tblKasa[[#Headers],[Tarih]])+1))-$A676,RaporTarihi-$A676))</f>
        <v/>
      </c>
      <c r="E676" s="18" t="n">
        <f aca="false">IF($C676="",0,ROUND($C676*$D676,0))</f>
        <v>0</v>
      </c>
      <c r="F676" s="22"/>
    </row>
    <row r="677" customFormat="false" ht="15" hidden="false" customHeight="false" outlineLevel="0" collapsed="false">
      <c r="A677" s="21"/>
      <c r="B677" s="22"/>
      <c r="C677" s="23"/>
      <c r="D677" s="19" t="str">
        <f aca="false">IF($A677="","",IFERROR(IF(INDEX(tblKasa[Tarih],ROW($A677)-ROW(tblKasa[[#Headers],[Tarih]])+1)=0,RaporTarihi,INDEX(tblKasa[Tarih],ROW($A677)-ROW(tblKasa[[#Headers],[Tarih]])+1))-$A677,RaporTarihi-$A677))</f>
        <v/>
      </c>
      <c r="E677" s="18" t="n">
        <f aca="false">IF($C677="",0,ROUND($C677*$D677,0))</f>
        <v>0</v>
      </c>
      <c r="F677" s="22"/>
    </row>
    <row r="678" customFormat="false" ht="15" hidden="false" customHeight="false" outlineLevel="0" collapsed="false">
      <c r="A678" s="21"/>
      <c r="B678" s="22"/>
      <c r="C678" s="23"/>
      <c r="D678" s="19" t="str">
        <f aca="false">IF($A678="","",IFERROR(IF(INDEX(tblKasa[Tarih],ROW($A678)-ROW(tblKasa[[#Headers],[Tarih]])+1)=0,RaporTarihi,INDEX(tblKasa[Tarih],ROW($A678)-ROW(tblKasa[[#Headers],[Tarih]])+1))-$A678,RaporTarihi-$A678))</f>
        <v/>
      </c>
      <c r="E678" s="18" t="n">
        <f aca="false">IF($C678="",0,ROUND($C678*$D678,0))</f>
        <v>0</v>
      </c>
      <c r="F678" s="22"/>
    </row>
    <row r="679" customFormat="false" ht="15" hidden="false" customHeight="false" outlineLevel="0" collapsed="false">
      <c r="A679" s="21"/>
      <c r="B679" s="22"/>
      <c r="C679" s="23"/>
      <c r="D679" s="19" t="str">
        <f aca="false">IF($A679="","",IFERROR(IF(INDEX(tblKasa[Tarih],ROW($A679)-ROW(tblKasa[[#Headers],[Tarih]])+1)=0,RaporTarihi,INDEX(tblKasa[Tarih],ROW($A679)-ROW(tblKasa[[#Headers],[Tarih]])+1))-$A679,RaporTarihi-$A679))</f>
        <v/>
      </c>
      <c r="E679" s="18" t="n">
        <f aca="false">IF($C679="",0,ROUND($C679*$D679,0))</f>
        <v>0</v>
      </c>
      <c r="F679" s="22"/>
    </row>
    <row r="680" customFormat="false" ht="15" hidden="false" customHeight="false" outlineLevel="0" collapsed="false">
      <c r="A680" s="21"/>
      <c r="B680" s="22"/>
      <c r="C680" s="23"/>
      <c r="D680" s="19" t="str">
        <f aca="false">IF($A680="","",IFERROR(IF(INDEX(tblKasa[Tarih],ROW($A680)-ROW(tblKasa[[#Headers],[Tarih]])+1)=0,RaporTarihi,INDEX(tblKasa[Tarih],ROW($A680)-ROW(tblKasa[[#Headers],[Tarih]])+1))-$A680,RaporTarihi-$A680))</f>
        <v/>
      </c>
      <c r="E680" s="18" t="n">
        <f aca="false">IF($C680="",0,ROUND($C680*$D680,0))</f>
        <v>0</v>
      </c>
      <c r="F680" s="22"/>
    </row>
    <row r="681" customFormat="false" ht="15" hidden="false" customHeight="false" outlineLevel="0" collapsed="false">
      <c r="A681" s="21"/>
      <c r="B681" s="22"/>
      <c r="C681" s="23"/>
      <c r="D681" s="19" t="str">
        <f aca="false">IF($A681="","",IFERROR(IF(INDEX(tblKasa[Tarih],ROW($A681)-ROW(tblKasa[[#Headers],[Tarih]])+1)=0,RaporTarihi,INDEX(tblKasa[Tarih],ROW($A681)-ROW(tblKasa[[#Headers],[Tarih]])+1))-$A681,RaporTarihi-$A681))</f>
        <v/>
      </c>
      <c r="E681" s="18" t="n">
        <f aca="false">IF($C681="",0,ROUND($C681*$D681,0))</f>
        <v>0</v>
      </c>
      <c r="F681" s="22"/>
    </row>
    <row r="682" customFormat="false" ht="15" hidden="false" customHeight="false" outlineLevel="0" collapsed="false">
      <c r="A682" s="21"/>
      <c r="B682" s="22"/>
      <c r="C682" s="23"/>
      <c r="D682" s="19" t="str">
        <f aca="false">IF($A682="","",IFERROR(IF(INDEX(tblKasa[Tarih],ROW($A682)-ROW(tblKasa[[#Headers],[Tarih]])+1)=0,RaporTarihi,INDEX(tblKasa[Tarih],ROW($A682)-ROW(tblKasa[[#Headers],[Tarih]])+1))-$A682,RaporTarihi-$A682))</f>
        <v/>
      </c>
      <c r="E682" s="18" t="n">
        <f aca="false">IF($C682="",0,ROUND($C682*$D682,0))</f>
        <v>0</v>
      </c>
      <c r="F682" s="22"/>
    </row>
    <row r="683" customFormat="false" ht="15" hidden="false" customHeight="false" outlineLevel="0" collapsed="false">
      <c r="A683" s="21"/>
      <c r="B683" s="22"/>
      <c r="C683" s="23"/>
      <c r="D683" s="19" t="str">
        <f aca="false">IF($A683="","",IFERROR(IF(INDEX(tblKasa[Tarih],ROW($A683)-ROW(tblKasa[[#Headers],[Tarih]])+1)=0,RaporTarihi,INDEX(tblKasa[Tarih],ROW($A683)-ROW(tblKasa[[#Headers],[Tarih]])+1))-$A683,RaporTarihi-$A683))</f>
        <v/>
      </c>
      <c r="E683" s="18" t="n">
        <f aca="false">IF($C683="",0,ROUND($C683*$D683,0))</f>
        <v>0</v>
      </c>
      <c r="F683" s="22"/>
    </row>
    <row r="684" customFormat="false" ht="15" hidden="false" customHeight="false" outlineLevel="0" collapsed="false">
      <c r="A684" s="21"/>
      <c r="B684" s="22"/>
      <c r="C684" s="23"/>
      <c r="D684" s="19" t="str">
        <f aca="false">IF($A684="","",IFERROR(IF(INDEX(tblKasa[Tarih],ROW($A684)-ROW(tblKasa[[#Headers],[Tarih]])+1)=0,RaporTarihi,INDEX(tblKasa[Tarih],ROW($A684)-ROW(tblKasa[[#Headers],[Tarih]])+1))-$A684,RaporTarihi-$A684))</f>
        <v/>
      </c>
      <c r="E684" s="18" t="n">
        <f aca="false">IF($C684="",0,ROUND($C684*$D684,0))</f>
        <v>0</v>
      </c>
      <c r="F684" s="22"/>
    </row>
    <row r="685" customFormat="false" ht="15" hidden="false" customHeight="false" outlineLevel="0" collapsed="false">
      <c r="A685" s="21"/>
      <c r="B685" s="22"/>
      <c r="C685" s="23"/>
      <c r="D685" s="19" t="str">
        <f aca="false">IF($A685="","",IFERROR(IF(INDEX(tblKasa[Tarih],ROW($A685)-ROW(tblKasa[[#Headers],[Tarih]])+1)=0,RaporTarihi,INDEX(tblKasa[Tarih],ROW($A685)-ROW(tblKasa[[#Headers],[Tarih]])+1))-$A685,RaporTarihi-$A685))</f>
        <v/>
      </c>
      <c r="E685" s="18" t="n">
        <f aca="false">IF($C685="",0,ROUND($C685*$D685,0))</f>
        <v>0</v>
      </c>
      <c r="F685" s="22"/>
    </row>
    <row r="686" customFormat="false" ht="15" hidden="false" customHeight="false" outlineLevel="0" collapsed="false">
      <c r="A686" s="21"/>
      <c r="B686" s="22"/>
      <c r="C686" s="23"/>
      <c r="D686" s="19" t="str">
        <f aca="false">IF($A686="","",IFERROR(IF(INDEX(tblKasa[Tarih],ROW($A686)-ROW(tblKasa[[#Headers],[Tarih]])+1)=0,RaporTarihi,INDEX(tblKasa[Tarih],ROW($A686)-ROW(tblKasa[[#Headers],[Tarih]])+1))-$A686,RaporTarihi-$A686))</f>
        <v/>
      </c>
      <c r="E686" s="18" t="n">
        <f aca="false">IF($C686="",0,ROUND($C686*$D686,0))</f>
        <v>0</v>
      </c>
      <c r="F686" s="22"/>
    </row>
    <row r="687" customFormat="false" ht="15" hidden="false" customHeight="false" outlineLevel="0" collapsed="false">
      <c r="A687" s="21"/>
      <c r="B687" s="22"/>
      <c r="C687" s="23"/>
      <c r="D687" s="19" t="str">
        <f aca="false">IF($A687="","",IFERROR(IF(INDEX(tblKasa[Tarih],ROW($A687)-ROW(tblKasa[[#Headers],[Tarih]])+1)=0,RaporTarihi,INDEX(tblKasa[Tarih],ROW($A687)-ROW(tblKasa[[#Headers],[Tarih]])+1))-$A687,RaporTarihi-$A687))</f>
        <v/>
      </c>
      <c r="E687" s="18" t="n">
        <f aca="false">IF($C687="",0,ROUND($C687*$D687,0))</f>
        <v>0</v>
      </c>
      <c r="F687" s="22"/>
    </row>
    <row r="688" customFormat="false" ht="15" hidden="false" customHeight="false" outlineLevel="0" collapsed="false">
      <c r="A688" s="21"/>
      <c r="B688" s="22"/>
      <c r="C688" s="23"/>
      <c r="D688" s="19" t="str">
        <f aca="false">IF($A688="","",IFERROR(IF(INDEX(tblKasa[Tarih],ROW($A688)-ROW(tblKasa[[#Headers],[Tarih]])+1)=0,RaporTarihi,INDEX(tblKasa[Tarih],ROW($A688)-ROW(tblKasa[[#Headers],[Tarih]])+1))-$A688,RaporTarihi-$A688))</f>
        <v/>
      </c>
      <c r="E688" s="18" t="n">
        <f aca="false">IF($C688="",0,ROUND($C688*$D688,0))</f>
        <v>0</v>
      </c>
      <c r="F688" s="22"/>
    </row>
    <row r="689" customFormat="false" ht="15" hidden="false" customHeight="false" outlineLevel="0" collapsed="false">
      <c r="A689" s="21"/>
      <c r="B689" s="22"/>
      <c r="C689" s="23"/>
      <c r="D689" s="19" t="str">
        <f aca="false">IF($A689="","",IFERROR(IF(INDEX(tblKasa[Tarih],ROW($A689)-ROW(tblKasa[[#Headers],[Tarih]])+1)=0,RaporTarihi,INDEX(tblKasa[Tarih],ROW($A689)-ROW(tblKasa[[#Headers],[Tarih]])+1))-$A689,RaporTarihi-$A689))</f>
        <v/>
      </c>
      <c r="E689" s="18" t="n">
        <f aca="false">IF($C689="",0,ROUND($C689*$D689,0))</f>
        <v>0</v>
      </c>
      <c r="F689" s="22"/>
    </row>
    <row r="690" customFormat="false" ht="15" hidden="false" customHeight="false" outlineLevel="0" collapsed="false">
      <c r="A690" s="21"/>
      <c r="B690" s="22"/>
      <c r="C690" s="23"/>
      <c r="D690" s="19" t="str">
        <f aca="false">IF($A690="","",IFERROR(IF(INDEX(tblKasa[Tarih],ROW($A690)-ROW(tblKasa[[#Headers],[Tarih]])+1)=0,RaporTarihi,INDEX(tblKasa[Tarih],ROW($A690)-ROW(tblKasa[[#Headers],[Tarih]])+1))-$A690,RaporTarihi-$A690))</f>
        <v/>
      </c>
      <c r="E690" s="18" t="n">
        <f aca="false">IF($C690="",0,ROUND($C690*$D690,0))</f>
        <v>0</v>
      </c>
      <c r="F690" s="22"/>
    </row>
    <row r="691" customFormat="false" ht="15" hidden="false" customHeight="false" outlineLevel="0" collapsed="false">
      <c r="A691" s="21"/>
      <c r="B691" s="22"/>
      <c r="C691" s="23"/>
      <c r="D691" s="19" t="str">
        <f aca="false">IF($A691="","",IFERROR(IF(INDEX(tblKasa[Tarih],ROW($A691)-ROW(tblKasa[[#Headers],[Tarih]])+1)=0,RaporTarihi,INDEX(tblKasa[Tarih],ROW($A691)-ROW(tblKasa[[#Headers],[Tarih]])+1))-$A691,RaporTarihi-$A691))</f>
        <v/>
      </c>
      <c r="E691" s="18" t="n">
        <f aca="false">IF($C691="",0,ROUND($C691*$D691,0))</f>
        <v>0</v>
      </c>
      <c r="F691" s="22"/>
    </row>
    <row r="692" customFormat="false" ht="15" hidden="false" customHeight="false" outlineLevel="0" collapsed="false">
      <c r="A692" s="21"/>
      <c r="B692" s="22"/>
      <c r="C692" s="23"/>
      <c r="D692" s="19" t="str">
        <f aca="false">IF($A692="","",IFERROR(IF(INDEX(tblKasa[Tarih],ROW($A692)-ROW(tblKasa[[#Headers],[Tarih]])+1)=0,RaporTarihi,INDEX(tblKasa[Tarih],ROW($A692)-ROW(tblKasa[[#Headers],[Tarih]])+1))-$A692,RaporTarihi-$A692))</f>
        <v/>
      </c>
      <c r="E692" s="18" t="n">
        <f aca="false">IF($C692="",0,ROUND($C692*$D692,0))</f>
        <v>0</v>
      </c>
      <c r="F692" s="22"/>
    </row>
    <row r="693" customFormat="false" ht="15" hidden="false" customHeight="false" outlineLevel="0" collapsed="false">
      <c r="A693" s="21"/>
      <c r="B693" s="22"/>
      <c r="C693" s="23"/>
      <c r="D693" s="19" t="str">
        <f aca="false">IF($A693="","",IFERROR(IF(INDEX(tblKasa[Tarih],ROW($A693)-ROW(tblKasa[[#Headers],[Tarih]])+1)=0,RaporTarihi,INDEX(tblKasa[Tarih],ROW($A693)-ROW(tblKasa[[#Headers],[Tarih]])+1))-$A693,RaporTarihi-$A693))</f>
        <v/>
      </c>
      <c r="E693" s="18" t="n">
        <f aca="false">IF($C693="",0,ROUND($C693*$D693,0))</f>
        <v>0</v>
      </c>
      <c r="F693" s="22"/>
    </row>
    <row r="694" customFormat="false" ht="15" hidden="false" customHeight="false" outlineLevel="0" collapsed="false">
      <c r="A694" s="21"/>
      <c r="B694" s="22"/>
      <c r="C694" s="23"/>
      <c r="D694" s="19" t="str">
        <f aca="false">IF($A694="","",IFERROR(IF(INDEX(tblKasa[Tarih],ROW($A694)-ROW(tblKasa[[#Headers],[Tarih]])+1)=0,RaporTarihi,INDEX(tblKasa[Tarih],ROW($A694)-ROW(tblKasa[[#Headers],[Tarih]])+1))-$A694,RaporTarihi-$A694))</f>
        <v/>
      </c>
      <c r="E694" s="18" t="n">
        <f aca="false">IF($C694="",0,ROUND($C694*$D694,0))</f>
        <v>0</v>
      </c>
      <c r="F694" s="22"/>
    </row>
    <row r="695" customFormat="false" ht="15" hidden="false" customHeight="false" outlineLevel="0" collapsed="false">
      <c r="A695" s="21"/>
      <c r="B695" s="22"/>
      <c r="C695" s="23"/>
      <c r="D695" s="19" t="str">
        <f aca="false">IF($A695="","",IFERROR(IF(INDEX(tblKasa[Tarih],ROW($A695)-ROW(tblKasa[[#Headers],[Tarih]])+1)=0,RaporTarihi,INDEX(tblKasa[Tarih],ROW($A695)-ROW(tblKasa[[#Headers],[Tarih]])+1))-$A695,RaporTarihi-$A695))</f>
        <v/>
      </c>
      <c r="E695" s="18" t="n">
        <f aca="false">IF($C695="",0,ROUND($C695*$D695,0))</f>
        <v>0</v>
      </c>
      <c r="F695" s="22"/>
    </row>
    <row r="696" customFormat="false" ht="15" hidden="false" customHeight="false" outlineLevel="0" collapsed="false">
      <c r="A696" s="21"/>
      <c r="B696" s="22"/>
      <c r="C696" s="23"/>
      <c r="D696" s="19" t="str">
        <f aca="false">IF($A696="","",IFERROR(IF(INDEX(tblKasa[Tarih],ROW($A696)-ROW(tblKasa[[#Headers],[Tarih]])+1)=0,RaporTarihi,INDEX(tblKasa[Tarih],ROW($A696)-ROW(tblKasa[[#Headers],[Tarih]])+1))-$A696,RaporTarihi-$A696))</f>
        <v/>
      </c>
      <c r="E696" s="18" t="n">
        <f aca="false">IF($C696="",0,ROUND($C696*$D696,0))</f>
        <v>0</v>
      </c>
      <c r="F696" s="22"/>
    </row>
    <row r="697" customFormat="false" ht="15" hidden="false" customHeight="false" outlineLevel="0" collapsed="false">
      <c r="A697" s="21"/>
      <c r="B697" s="22"/>
      <c r="C697" s="23"/>
      <c r="D697" s="19" t="str">
        <f aca="false">IF($A697="","",IFERROR(IF(INDEX(tblKasa[Tarih],ROW($A697)-ROW(tblKasa[[#Headers],[Tarih]])+1)=0,RaporTarihi,INDEX(tblKasa[Tarih],ROW($A697)-ROW(tblKasa[[#Headers],[Tarih]])+1))-$A697,RaporTarihi-$A697))</f>
        <v/>
      </c>
      <c r="E697" s="18" t="n">
        <f aca="false">IF($C697="",0,ROUND($C697*$D697,0))</f>
        <v>0</v>
      </c>
      <c r="F697" s="22"/>
    </row>
    <row r="698" customFormat="false" ht="15" hidden="false" customHeight="false" outlineLevel="0" collapsed="false">
      <c r="A698" s="21"/>
      <c r="B698" s="22"/>
      <c r="C698" s="23"/>
      <c r="D698" s="19" t="str">
        <f aca="false">IF($A698="","",IFERROR(IF(INDEX(tblKasa[Tarih],ROW($A698)-ROW(tblKasa[[#Headers],[Tarih]])+1)=0,RaporTarihi,INDEX(tblKasa[Tarih],ROW($A698)-ROW(tblKasa[[#Headers],[Tarih]])+1))-$A698,RaporTarihi-$A698))</f>
        <v/>
      </c>
      <c r="E698" s="18" t="n">
        <f aca="false">IF($C698="",0,ROUND($C698*$D698,0))</f>
        <v>0</v>
      </c>
      <c r="F698" s="22"/>
    </row>
    <row r="699" customFormat="false" ht="15" hidden="false" customHeight="false" outlineLevel="0" collapsed="false">
      <c r="A699" s="21"/>
      <c r="B699" s="22"/>
      <c r="C699" s="23"/>
      <c r="D699" s="19" t="str">
        <f aca="false">IF($A699="","",IFERROR(IF(INDEX(tblKasa[Tarih],ROW($A699)-ROW(tblKasa[[#Headers],[Tarih]])+1)=0,RaporTarihi,INDEX(tblKasa[Tarih],ROW($A699)-ROW(tblKasa[[#Headers],[Tarih]])+1))-$A699,RaporTarihi-$A699))</f>
        <v/>
      </c>
      <c r="E699" s="18" t="n">
        <f aca="false">IF($C699="",0,ROUND($C699*$D699,0))</f>
        <v>0</v>
      </c>
      <c r="F699" s="22"/>
    </row>
    <row r="700" customFormat="false" ht="15" hidden="false" customHeight="false" outlineLevel="0" collapsed="false">
      <c r="A700" s="21"/>
      <c r="B700" s="22"/>
      <c r="C700" s="23"/>
      <c r="D700" s="19" t="str">
        <f aca="false">IF($A700="","",IFERROR(IF(INDEX(tblKasa[Tarih],ROW($A700)-ROW(tblKasa[[#Headers],[Tarih]])+1)=0,RaporTarihi,INDEX(tblKasa[Tarih],ROW($A700)-ROW(tblKasa[[#Headers],[Tarih]])+1))-$A700,RaporTarihi-$A700))</f>
        <v/>
      </c>
      <c r="E700" s="18" t="n">
        <f aca="false">IF($C700="",0,ROUND($C700*$D700,0))</f>
        <v>0</v>
      </c>
      <c r="F700" s="22"/>
    </row>
    <row r="701" customFormat="false" ht="15" hidden="false" customHeight="false" outlineLevel="0" collapsed="false">
      <c r="A701" s="21"/>
      <c r="B701" s="22"/>
      <c r="C701" s="23"/>
      <c r="D701" s="19" t="str">
        <f aca="false">IF($A701="","",IFERROR(IF(INDEX(tblKasa[Tarih],ROW($A701)-ROW(tblKasa[[#Headers],[Tarih]])+1)=0,RaporTarihi,INDEX(tblKasa[Tarih],ROW($A701)-ROW(tblKasa[[#Headers],[Tarih]])+1))-$A701,RaporTarihi-$A701))</f>
        <v/>
      </c>
      <c r="E701" s="18" t="n">
        <f aca="false">IF($C701="",0,ROUND($C701*$D701,0))</f>
        <v>0</v>
      </c>
      <c r="F701" s="22"/>
    </row>
    <row r="702" customFormat="false" ht="15" hidden="false" customHeight="false" outlineLevel="0" collapsed="false">
      <c r="A702" s="21"/>
      <c r="B702" s="22"/>
      <c r="C702" s="23"/>
      <c r="D702" s="19" t="str">
        <f aca="false">IF($A702="","",IFERROR(IF(INDEX(tblKasa[Tarih],ROW($A702)-ROW(tblKasa[[#Headers],[Tarih]])+1)=0,RaporTarihi,INDEX(tblKasa[Tarih],ROW($A702)-ROW(tblKasa[[#Headers],[Tarih]])+1))-$A702,RaporTarihi-$A702))</f>
        <v/>
      </c>
      <c r="E702" s="18" t="n">
        <f aca="false">IF($C702="",0,ROUND($C702*$D702,0))</f>
        <v>0</v>
      </c>
      <c r="F702" s="22"/>
    </row>
    <row r="703" customFormat="false" ht="15" hidden="false" customHeight="false" outlineLevel="0" collapsed="false">
      <c r="A703" s="21"/>
      <c r="B703" s="22"/>
      <c r="C703" s="23"/>
      <c r="D703" s="19" t="str">
        <f aca="false">IF($A703="","",IFERROR(IF(INDEX(tblKasa[Tarih],ROW($A703)-ROW(tblKasa[[#Headers],[Tarih]])+1)=0,RaporTarihi,INDEX(tblKasa[Tarih],ROW($A703)-ROW(tblKasa[[#Headers],[Tarih]])+1))-$A703,RaporTarihi-$A703))</f>
        <v/>
      </c>
      <c r="E703" s="18" t="n">
        <f aca="false">IF($C703="",0,ROUND($C703*$D703,0))</f>
        <v>0</v>
      </c>
      <c r="F703" s="22"/>
    </row>
    <row r="704" customFormat="false" ht="15" hidden="false" customHeight="false" outlineLevel="0" collapsed="false">
      <c r="A704" s="21"/>
      <c r="B704" s="22"/>
      <c r="C704" s="23"/>
      <c r="D704" s="19" t="str">
        <f aca="false">IF($A704="","",IFERROR(IF(INDEX(tblKasa[Tarih],ROW($A704)-ROW(tblKasa[[#Headers],[Tarih]])+1)=0,RaporTarihi,INDEX(tblKasa[Tarih],ROW($A704)-ROW(tblKasa[[#Headers],[Tarih]])+1))-$A704,RaporTarihi-$A704))</f>
        <v/>
      </c>
      <c r="E704" s="18" t="n">
        <f aca="false">IF($C704="",0,ROUND($C704*$D704,0))</f>
        <v>0</v>
      </c>
      <c r="F704" s="22"/>
    </row>
    <row r="705" customFormat="false" ht="15" hidden="false" customHeight="false" outlineLevel="0" collapsed="false">
      <c r="A705" s="21"/>
      <c r="B705" s="22"/>
      <c r="C705" s="23"/>
      <c r="D705" s="19" t="str">
        <f aca="false">IF($A705="","",IFERROR(IF(INDEX(tblKasa[Tarih],ROW($A705)-ROW(tblKasa[[#Headers],[Tarih]])+1)=0,RaporTarihi,INDEX(tblKasa[Tarih],ROW($A705)-ROW(tblKasa[[#Headers],[Tarih]])+1))-$A705,RaporTarihi-$A705))</f>
        <v/>
      </c>
      <c r="E705" s="18" t="n">
        <f aca="false">IF($C705="",0,ROUND($C705*$D705,0))</f>
        <v>0</v>
      </c>
      <c r="F705" s="22"/>
    </row>
    <row r="706" customFormat="false" ht="15" hidden="false" customHeight="false" outlineLevel="0" collapsed="false">
      <c r="A706" s="21"/>
      <c r="B706" s="22"/>
      <c r="C706" s="23"/>
      <c r="D706" s="19" t="str">
        <f aca="false">IF($A706="","",IFERROR(IF(INDEX(tblKasa[Tarih],ROW($A706)-ROW(tblKasa[[#Headers],[Tarih]])+1)=0,RaporTarihi,INDEX(tblKasa[Tarih],ROW($A706)-ROW(tblKasa[[#Headers],[Tarih]])+1))-$A706,RaporTarihi-$A706))</f>
        <v/>
      </c>
      <c r="E706" s="18" t="n">
        <f aca="false">IF($C706="",0,ROUND($C706*$D706,0))</f>
        <v>0</v>
      </c>
      <c r="F706" s="22"/>
    </row>
    <row r="707" customFormat="false" ht="15" hidden="false" customHeight="false" outlineLevel="0" collapsed="false">
      <c r="A707" s="21"/>
      <c r="B707" s="22"/>
      <c r="C707" s="23"/>
      <c r="D707" s="19" t="str">
        <f aca="false">IF($A707="","",IFERROR(IF(INDEX(tblKasa[Tarih],ROW($A707)-ROW(tblKasa[[#Headers],[Tarih]])+1)=0,RaporTarihi,INDEX(tblKasa[Tarih],ROW($A707)-ROW(tblKasa[[#Headers],[Tarih]])+1))-$A707,RaporTarihi-$A707))</f>
        <v/>
      </c>
      <c r="E707" s="18" t="n">
        <f aca="false">IF($C707="",0,ROUND($C707*$D707,0))</f>
        <v>0</v>
      </c>
      <c r="F707" s="22"/>
    </row>
    <row r="708" customFormat="false" ht="15" hidden="false" customHeight="false" outlineLevel="0" collapsed="false">
      <c r="A708" s="21"/>
      <c r="B708" s="22"/>
      <c r="C708" s="23"/>
      <c r="D708" s="19" t="str">
        <f aca="false">IF($A708="","",IFERROR(IF(INDEX(tblKasa[Tarih],ROW($A708)-ROW(tblKasa[[#Headers],[Tarih]])+1)=0,RaporTarihi,INDEX(tblKasa[Tarih],ROW($A708)-ROW(tblKasa[[#Headers],[Tarih]])+1))-$A708,RaporTarihi-$A708))</f>
        <v/>
      </c>
      <c r="E708" s="18" t="n">
        <f aca="false">IF($C708="",0,ROUND($C708*$D708,0))</f>
        <v>0</v>
      </c>
      <c r="F708" s="22"/>
    </row>
    <row r="709" customFormat="false" ht="15" hidden="false" customHeight="false" outlineLevel="0" collapsed="false">
      <c r="A709" s="21"/>
      <c r="B709" s="22"/>
      <c r="C709" s="23"/>
      <c r="D709" s="19" t="str">
        <f aca="false">IF($A709="","",IFERROR(IF(INDEX(tblKasa[Tarih],ROW($A709)-ROW(tblKasa[[#Headers],[Tarih]])+1)=0,RaporTarihi,INDEX(tblKasa[Tarih],ROW($A709)-ROW(tblKasa[[#Headers],[Tarih]])+1))-$A709,RaporTarihi-$A709))</f>
        <v/>
      </c>
      <c r="E709" s="18" t="n">
        <f aca="false">IF($C709="",0,ROUND($C709*$D709,0))</f>
        <v>0</v>
      </c>
      <c r="F709" s="22"/>
    </row>
    <row r="710" customFormat="false" ht="15" hidden="false" customHeight="false" outlineLevel="0" collapsed="false">
      <c r="A710" s="21"/>
      <c r="B710" s="22"/>
      <c r="C710" s="23"/>
      <c r="D710" s="19" t="str">
        <f aca="false">IF($A710="","",IFERROR(IF(INDEX(tblKasa[Tarih],ROW($A710)-ROW(tblKasa[[#Headers],[Tarih]])+1)=0,RaporTarihi,INDEX(tblKasa[Tarih],ROW($A710)-ROW(tblKasa[[#Headers],[Tarih]])+1))-$A710,RaporTarihi-$A710))</f>
        <v/>
      </c>
      <c r="E710" s="18" t="n">
        <f aca="false">IF($C710="",0,ROUND($C710*$D710,0))</f>
        <v>0</v>
      </c>
      <c r="F710" s="22"/>
    </row>
    <row r="711" customFormat="false" ht="15" hidden="false" customHeight="false" outlineLevel="0" collapsed="false">
      <c r="A711" s="21"/>
      <c r="B711" s="22"/>
      <c r="C711" s="23"/>
      <c r="D711" s="19" t="str">
        <f aca="false">IF($A711="","",IFERROR(IF(INDEX(tblKasa[Tarih],ROW($A711)-ROW(tblKasa[[#Headers],[Tarih]])+1)=0,RaporTarihi,INDEX(tblKasa[Tarih],ROW($A711)-ROW(tblKasa[[#Headers],[Tarih]])+1))-$A711,RaporTarihi-$A711))</f>
        <v/>
      </c>
      <c r="E711" s="18" t="n">
        <f aca="false">IF($C711="",0,ROUND($C711*$D711,0))</f>
        <v>0</v>
      </c>
      <c r="F711" s="22"/>
    </row>
    <row r="712" customFormat="false" ht="15" hidden="false" customHeight="false" outlineLevel="0" collapsed="false">
      <c r="A712" s="21"/>
      <c r="B712" s="22"/>
      <c r="C712" s="23"/>
      <c r="D712" s="19" t="str">
        <f aca="false">IF($A712="","",IFERROR(IF(INDEX(tblKasa[Tarih],ROW($A712)-ROW(tblKasa[[#Headers],[Tarih]])+1)=0,RaporTarihi,INDEX(tblKasa[Tarih],ROW($A712)-ROW(tblKasa[[#Headers],[Tarih]])+1))-$A712,RaporTarihi-$A712))</f>
        <v/>
      </c>
      <c r="E712" s="18" t="n">
        <f aca="false">IF($C712="",0,ROUND($C712*$D712,0))</f>
        <v>0</v>
      </c>
      <c r="F712" s="22"/>
    </row>
    <row r="713" customFormat="false" ht="15" hidden="false" customHeight="false" outlineLevel="0" collapsed="false">
      <c r="A713" s="21"/>
      <c r="B713" s="22"/>
      <c r="C713" s="23"/>
      <c r="D713" s="19" t="str">
        <f aca="false">IF($A713="","",IFERROR(IF(INDEX(tblKasa[Tarih],ROW($A713)-ROW(tblKasa[[#Headers],[Tarih]])+1)=0,RaporTarihi,INDEX(tblKasa[Tarih],ROW($A713)-ROW(tblKasa[[#Headers],[Tarih]])+1))-$A713,RaporTarihi-$A713))</f>
        <v/>
      </c>
      <c r="E713" s="18" t="n">
        <f aca="false">IF($C713="",0,ROUND($C713*$D713,0))</f>
        <v>0</v>
      </c>
      <c r="F713" s="22"/>
    </row>
    <row r="714" customFormat="false" ht="15" hidden="false" customHeight="false" outlineLevel="0" collapsed="false">
      <c r="A714" s="21"/>
      <c r="B714" s="22"/>
      <c r="C714" s="23"/>
      <c r="D714" s="19" t="str">
        <f aca="false">IF($A714="","",IFERROR(IF(INDEX(tblKasa[Tarih],ROW($A714)-ROW(tblKasa[[#Headers],[Tarih]])+1)=0,RaporTarihi,INDEX(tblKasa[Tarih],ROW($A714)-ROW(tblKasa[[#Headers],[Tarih]])+1))-$A714,RaporTarihi-$A714))</f>
        <v/>
      </c>
      <c r="E714" s="18" t="n">
        <f aca="false">IF($C714="",0,ROUND($C714*$D714,0))</f>
        <v>0</v>
      </c>
      <c r="F714" s="22"/>
    </row>
    <row r="715" customFormat="false" ht="15" hidden="false" customHeight="false" outlineLevel="0" collapsed="false">
      <c r="A715" s="21"/>
      <c r="B715" s="22"/>
      <c r="C715" s="23"/>
      <c r="D715" s="19" t="str">
        <f aca="false">IF($A715="","",IFERROR(IF(INDEX(tblKasa[Tarih],ROW($A715)-ROW(tblKasa[[#Headers],[Tarih]])+1)=0,RaporTarihi,INDEX(tblKasa[Tarih],ROW($A715)-ROW(tblKasa[[#Headers],[Tarih]])+1))-$A715,RaporTarihi-$A715))</f>
        <v/>
      </c>
      <c r="E715" s="18" t="n">
        <f aca="false">IF($C715="",0,ROUND($C715*$D715,0))</f>
        <v>0</v>
      </c>
      <c r="F715" s="22"/>
    </row>
    <row r="716" customFormat="false" ht="15" hidden="false" customHeight="false" outlineLevel="0" collapsed="false">
      <c r="A716" s="21"/>
      <c r="B716" s="22"/>
      <c r="C716" s="23"/>
      <c r="D716" s="19" t="str">
        <f aca="false">IF($A716="","",IFERROR(IF(INDEX(tblKasa[Tarih],ROW($A716)-ROW(tblKasa[[#Headers],[Tarih]])+1)=0,RaporTarihi,INDEX(tblKasa[Tarih],ROW($A716)-ROW(tblKasa[[#Headers],[Tarih]])+1))-$A716,RaporTarihi-$A716))</f>
        <v/>
      </c>
      <c r="E716" s="18" t="n">
        <f aca="false">IF($C716="",0,ROUND($C716*$D716,0))</f>
        <v>0</v>
      </c>
      <c r="F716" s="22"/>
    </row>
    <row r="717" customFormat="false" ht="15" hidden="false" customHeight="false" outlineLevel="0" collapsed="false">
      <c r="A717" s="21"/>
      <c r="B717" s="22"/>
      <c r="C717" s="23"/>
      <c r="D717" s="19" t="str">
        <f aca="false">IF($A717="","",IFERROR(IF(INDEX(tblKasa[Tarih],ROW($A717)-ROW(tblKasa[[#Headers],[Tarih]])+1)=0,RaporTarihi,INDEX(tblKasa[Tarih],ROW($A717)-ROW(tblKasa[[#Headers],[Tarih]])+1))-$A717,RaporTarihi-$A717))</f>
        <v/>
      </c>
      <c r="E717" s="18" t="n">
        <f aca="false">IF($C717="",0,ROUND($C717*$D717,0))</f>
        <v>0</v>
      </c>
      <c r="F717" s="22"/>
    </row>
    <row r="718" customFormat="false" ht="15" hidden="false" customHeight="false" outlineLevel="0" collapsed="false">
      <c r="A718" s="21"/>
      <c r="B718" s="22"/>
      <c r="C718" s="23"/>
      <c r="D718" s="19" t="str">
        <f aca="false">IF($A718="","",IFERROR(IF(INDEX(tblKasa[Tarih],ROW($A718)-ROW(tblKasa[[#Headers],[Tarih]])+1)=0,RaporTarihi,INDEX(tblKasa[Tarih],ROW($A718)-ROW(tblKasa[[#Headers],[Tarih]])+1))-$A718,RaporTarihi-$A718))</f>
        <v/>
      </c>
      <c r="E718" s="18" t="n">
        <f aca="false">IF($C718="",0,ROUND($C718*$D718,0))</f>
        <v>0</v>
      </c>
      <c r="F718" s="22"/>
    </row>
    <row r="719" customFormat="false" ht="15" hidden="false" customHeight="false" outlineLevel="0" collapsed="false">
      <c r="A719" s="21"/>
      <c r="B719" s="22"/>
      <c r="C719" s="23"/>
      <c r="D719" s="19" t="str">
        <f aca="false">IF($A719="","",IFERROR(IF(INDEX(tblKasa[Tarih],ROW($A719)-ROW(tblKasa[[#Headers],[Tarih]])+1)=0,RaporTarihi,INDEX(tblKasa[Tarih],ROW($A719)-ROW(tblKasa[[#Headers],[Tarih]])+1))-$A719,RaporTarihi-$A719))</f>
        <v/>
      </c>
      <c r="E719" s="18" t="n">
        <f aca="false">IF($C719="",0,ROUND($C719*$D719,0))</f>
        <v>0</v>
      </c>
      <c r="F719" s="22"/>
    </row>
    <row r="720" customFormat="false" ht="15" hidden="false" customHeight="false" outlineLevel="0" collapsed="false">
      <c r="A720" s="21"/>
      <c r="B720" s="22"/>
      <c r="C720" s="23"/>
      <c r="D720" s="19" t="str">
        <f aca="false">IF($A720="","",IFERROR(IF(INDEX(tblKasa[Tarih],ROW($A720)-ROW(tblKasa[[#Headers],[Tarih]])+1)=0,RaporTarihi,INDEX(tblKasa[Tarih],ROW($A720)-ROW(tblKasa[[#Headers],[Tarih]])+1))-$A720,RaporTarihi-$A720))</f>
        <v/>
      </c>
      <c r="E720" s="18" t="n">
        <f aca="false">IF($C720="",0,ROUND($C720*$D720,0))</f>
        <v>0</v>
      </c>
      <c r="F720" s="22"/>
    </row>
    <row r="721" customFormat="false" ht="15" hidden="false" customHeight="false" outlineLevel="0" collapsed="false">
      <c r="A721" s="21"/>
      <c r="B721" s="22"/>
      <c r="C721" s="23"/>
      <c r="D721" s="19" t="str">
        <f aca="false">IF($A721="","",IFERROR(IF(INDEX(tblKasa[Tarih],ROW($A721)-ROW(tblKasa[[#Headers],[Tarih]])+1)=0,RaporTarihi,INDEX(tblKasa[Tarih],ROW($A721)-ROW(tblKasa[[#Headers],[Tarih]])+1))-$A721,RaporTarihi-$A721))</f>
        <v/>
      </c>
      <c r="E721" s="18" t="n">
        <f aca="false">IF($C721="",0,ROUND($C721*$D721,0))</f>
        <v>0</v>
      </c>
      <c r="F721" s="22"/>
    </row>
    <row r="722" customFormat="false" ht="15" hidden="false" customHeight="false" outlineLevel="0" collapsed="false">
      <c r="A722" s="21"/>
      <c r="B722" s="22"/>
      <c r="C722" s="23"/>
      <c r="D722" s="19" t="str">
        <f aca="false">IF($A722="","",IFERROR(IF(INDEX(tblKasa[Tarih],ROW($A722)-ROW(tblKasa[[#Headers],[Tarih]])+1)=0,RaporTarihi,INDEX(tblKasa[Tarih],ROW($A722)-ROW(tblKasa[[#Headers],[Tarih]])+1))-$A722,RaporTarihi-$A722))</f>
        <v/>
      </c>
      <c r="E722" s="18" t="n">
        <f aca="false">IF($C722="",0,ROUND($C722*$D722,0))</f>
        <v>0</v>
      </c>
      <c r="F722" s="22"/>
    </row>
    <row r="723" customFormat="false" ht="15" hidden="false" customHeight="false" outlineLevel="0" collapsed="false">
      <c r="A723" s="21"/>
      <c r="B723" s="22"/>
      <c r="C723" s="23"/>
      <c r="D723" s="19" t="str">
        <f aca="false">IF($A723="","",IFERROR(IF(INDEX(tblKasa[Tarih],ROW($A723)-ROW(tblKasa[[#Headers],[Tarih]])+1)=0,RaporTarihi,INDEX(tblKasa[Tarih],ROW($A723)-ROW(tblKasa[[#Headers],[Tarih]])+1))-$A723,RaporTarihi-$A723))</f>
        <v/>
      </c>
      <c r="E723" s="18" t="n">
        <f aca="false">IF($C723="",0,ROUND($C723*$D723,0))</f>
        <v>0</v>
      </c>
      <c r="F723" s="22"/>
    </row>
    <row r="724" customFormat="false" ht="15" hidden="false" customHeight="false" outlineLevel="0" collapsed="false">
      <c r="A724" s="21"/>
      <c r="B724" s="22"/>
      <c r="C724" s="23"/>
      <c r="D724" s="19" t="str">
        <f aca="false">IF($A724="","",IFERROR(IF(INDEX(tblKasa[Tarih],ROW($A724)-ROW(tblKasa[[#Headers],[Tarih]])+1)=0,RaporTarihi,INDEX(tblKasa[Tarih],ROW($A724)-ROW(tblKasa[[#Headers],[Tarih]])+1))-$A724,RaporTarihi-$A724))</f>
        <v/>
      </c>
      <c r="E724" s="18" t="n">
        <f aca="false">IF($C724="",0,ROUND($C724*$D724,0))</f>
        <v>0</v>
      </c>
      <c r="F724" s="22"/>
    </row>
    <row r="725" customFormat="false" ht="15" hidden="false" customHeight="false" outlineLevel="0" collapsed="false">
      <c r="A725" s="21"/>
      <c r="B725" s="22"/>
      <c r="C725" s="23"/>
      <c r="D725" s="19" t="str">
        <f aca="false">IF($A725="","",IFERROR(IF(INDEX(tblKasa[Tarih],ROW($A725)-ROW(tblKasa[[#Headers],[Tarih]])+1)=0,RaporTarihi,INDEX(tblKasa[Tarih],ROW($A725)-ROW(tblKasa[[#Headers],[Tarih]])+1))-$A725,RaporTarihi-$A725))</f>
        <v/>
      </c>
      <c r="E725" s="18" t="n">
        <f aca="false">IF($C725="",0,ROUND($C725*$D725,0))</f>
        <v>0</v>
      </c>
      <c r="F725" s="22"/>
    </row>
    <row r="726" customFormat="false" ht="15" hidden="false" customHeight="false" outlineLevel="0" collapsed="false">
      <c r="A726" s="21"/>
      <c r="B726" s="22"/>
      <c r="C726" s="23"/>
      <c r="D726" s="19" t="str">
        <f aca="false">IF($A726="","",IFERROR(IF(INDEX(tblKasa[Tarih],ROW($A726)-ROW(tblKasa[[#Headers],[Tarih]])+1)=0,RaporTarihi,INDEX(tblKasa[Tarih],ROW($A726)-ROW(tblKasa[[#Headers],[Tarih]])+1))-$A726,RaporTarihi-$A726))</f>
        <v/>
      </c>
      <c r="E726" s="18" t="n">
        <f aca="false">IF($C726="",0,ROUND($C726*$D726,0))</f>
        <v>0</v>
      </c>
      <c r="F726" s="22"/>
    </row>
    <row r="727" customFormat="false" ht="15" hidden="false" customHeight="false" outlineLevel="0" collapsed="false">
      <c r="A727" s="21"/>
      <c r="B727" s="22"/>
      <c r="C727" s="23"/>
      <c r="D727" s="19" t="str">
        <f aca="false">IF($A727="","",IFERROR(IF(INDEX(tblKasa[Tarih],ROW($A727)-ROW(tblKasa[[#Headers],[Tarih]])+1)=0,RaporTarihi,INDEX(tblKasa[Tarih],ROW($A727)-ROW(tblKasa[[#Headers],[Tarih]])+1))-$A727,RaporTarihi-$A727))</f>
        <v/>
      </c>
      <c r="E727" s="18" t="n">
        <f aca="false">IF($C727="",0,ROUND($C727*$D727,0))</f>
        <v>0</v>
      </c>
      <c r="F727" s="22"/>
    </row>
    <row r="728" customFormat="false" ht="15" hidden="false" customHeight="false" outlineLevel="0" collapsed="false">
      <c r="A728" s="21"/>
      <c r="B728" s="22"/>
      <c r="C728" s="23"/>
      <c r="D728" s="19" t="str">
        <f aca="false">IF($A728="","",IFERROR(IF(INDEX(tblKasa[Tarih],ROW($A728)-ROW(tblKasa[[#Headers],[Tarih]])+1)=0,RaporTarihi,INDEX(tblKasa[Tarih],ROW($A728)-ROW(tblKasa[[#Headers],[Tarih]])+1))-$A728,RaporTarihi-$A728))</f>
        <v/>
      </c>
      <c r="E728" s="18" t="n">
        <f aca="false">IF($C728="",0,ROUND($C728*$D728,0))</f>
        <v>0</v>
      </c>
      <c r="F728" s="22"/>
    </row>
    <row r="729" customFormat="false" ht="15" hidden="false" customHeight="false" outlineLevel="0" collapsed="false">
      <c r="A729" s="21"/>
      <c r="B729" s="22"/>
      <c r="C729" s="23"/>
      <c r="D729" s="19" t="str">
        <f aca="false">IF($A729="","",IFERROR(IF(INDEX(tblKasa[Tarih],ROW($A729)-ROW(tblKasa[[#Headers],[Tarih]])+1)=0,RaporTarihi,INDEX(tblKasa[Tarih],ROW($A729)-ROW(tblKasa[[#Headers],[Tarih]])+1))-$A729,RaporTarihi-$A729))</f>
        <v/>
      </c>
      <c r="E729" s="18" t="n">
        <f aca="false">IF($C729="",0,ROUND($C729*$D729,0))</f>
        <v>0</v>
      </c>
      <c r="F729" s="22"/>
    </row>
    <row r="730" customFormat="false" ht="15" hidden="false" customHeight="false" outlineLevel="0" collapsed="false">
      <c r="A730" s="21"/>
      <c r="B730" s="22"/>
      <c r="C730" s="23"/>
      <c r="D730" s="19" t="str">
        <f aca="false">IF($A730="","",IFERROR(IF(INDEX(tblKasa[Tarih],ROW($A730)-ROW(tblKasa[[#Headers],[Tarih]])+1)=0,RaporTarihi,INDEX(tblKasa[Tarih],ROW($A730)-ROW(tblKasa[[#Headers],[Tarih]])+1))-$A730,RaporTarihi-$A730))</f>
        <v/>
      </c>
      <c r="E730" s="18" t="n">
        <f aca="false">IF($C730="",0,ROUND($C730*$D730,0))</f>
        <v>0</v>
      </c>
      <c r="F730" s="22"/>
    </row>
    <row r="731" customFormat="false" ht="15" hidden="false" customHeight="false" outlineLevel="0" collapsed="false">
      <c r="A731" s="21"/>
      <c r="B731" s="22"/>
      <c r="C731" s="23"/>
      <c r="D731" s="19" t="str">
        <f aca="false">IF($A731="","",IFERROR(IF(INDEX(tblKasa[Tarih],ROW($A731)-ROW(tblKasa[[#Headers],[Tarih]])+1)=0,RaporTarihi,INDEX(tblKasa[Tarih],ROW($A731)-ROW(tblKasa[[#Headers],[Tarih]])+1))-$A731,RaporTarihi-$A731))</f>
        <v/>
      </c>
      <c r="E731" s="18" t="n">
        <f aca="false">IF($C731="",0,ROUND($C731*$D731,0))</f>
        <v>0</v>
      </c>
      <c r="F731" s="22"/>
    </row>
    <row r="732" customFormat="false" ht="15" hidden="false" customHeight="false" outlineLevel="0" collapsed="false">
      <c r="A732" s="21"/>
      <c r="B732" s="22"/>
      <c r="C732" s="23"/>
      <c r="D732" s="19" t="str">
        <f aca="false">IF($A732="","",IFERROR(IF(INDEX(tblKasa[Tarih],ROW($A732)-ROW(tblKasa[[#Headers],[Tarih]])+1)=0,RaporTarihi,INDEX(tblKasa[Tarih],ROW($A732)-ROW(tblKasa[[#Headers],[Tarih]])+1))-$A732,RaporTarihi-$A732))</f>
        <v/>
      </c>
      <c r="E732" s="18" t="n">
        <f aca="false">IF($C732="",0,ROUND($C732*$D732,0))</f>
        <v>0</v>
      </c>
      <c r="F732" s="22"/>
    </row>
    <row r="733" customFormat="false" ht="15" hidden="false" customHeight="false" outlineLevel="0" collapsed="false">
      <c r="A733" s="21"/>
      <c r="B733" s="22"/>
      <c r="C733" s="23"/>
      <c r="D733" s="19" t="str">
        <f aca="false">IF($A733="","",IFERROR(IF(INDEX(tblKasa[Tarih],ROW($A733)-ROW(tblKasa[[#Headers],[Tarih]])+1)=0,RaporTarihi,INDEX(tblKasa[Tarih],ROW($A733)-ROW(tblKasa[[#Headers],[Tarih]])+1))-$A733,RaporTarihi-$A733))</f>
        <v/>
      </c>
      <c r="E733" s="18" t="n">
        <f aca="false">IF($C733="",0,ROUND($C733*$D733,0))</f>
        <v>0</v>
      </c>
      <c r="F733" s="22"/>
    </row>
    <row r="734" customFormat="false" ht="15" hidden="false" customHeight="false" outlineLevel="0" collapsed="false">
      <c r="A734" s="21"/>
      <c r="B734" s="22"/>
      <c r="C734" s="23"/>
      <c r="D734" s="19" t="str">
        <f aca="false">IF($A734="","",IFERROR(IF(INDEX(tblKasa[Tarih],ROW($A734)-ROW(tblKasa[[#Headers],[Tarih]])+1)=0,RaporTarihi,INDEX(tblKasa[Tarih],ROW($A734)-ROW(tblKasa[[#Headers],[Tarih]])+1))-$A734,RaporTarihi-$A734))</f>
        <v/>
      </c>
      <c r="E734" s="18" t="n">
        <f aca="false">IF($C734="",0,ROUND($C734*$D734,0))</f>
        <v>0</v>
      </c>
      <c r="F734" s="22"/>
    </row>
    <row r="735" customFormat="false" ht="15" hidden="false" customHeight="false" outlineLevel="0" collapsed="false">
      <c r="A735" s="21"/>
      <c r="B735" s="22"/>
      <c r="C735" s="23"/>
      <c r="D735" s="19" t="str">
        <f aca="false">IF($A735="","",IFERROR(IF(INDEX(tblKasa[Tarih],ROW($A735)-ROW(tblKasa[[#Headers],[Tarih]])+1)=0,RaporTarihi,INDEX(tblKasa[Tarih],ROW($A735)-ROW(tblKasa[[#Headers],[Tarih]])+1))-$A735,RaporTarihi-$A735))</f>
        <v/>
      </c>
      <c r="E735" s="18" t="n">
        <f aca="false">IF($C735="",0,ROUND($C735*$D735,0))</f>
        <v>0</v>
      </c>
      <c r="F735" s="22"/>
    </row>
    <row r="736" customFormat="false" ht="15" hidden="false" customHeight="false" outlineLevel="0" collapsed="false">
      <c r="A736" s="21"/>
      <c r="B736" s="22"/>
      <c r="C736" s="23"/>
      <c r="D736" s="19" t="str">
        <f aca="false">IF($A736="","",IFERROR(IF(INDEX(tblKasa[Tarih],ROW($A736)-ROW(tblKasa[[#Headers],[Tarih]])+1)=0,RaporTarihi,INDEX(tblKasa[Tarih],ROW($A736)-ROW(tblKasa[[#Headers],[Tarih]])+1))-$A736,RaporTarihi-$A736))</f>
        <v/>
      </c>
      <c r="E736" s="18" t="n">
        <f aca="false">IF($C736="",0,ROUND($C736*$D736,0))</f>
        <v>0</v>
      </c>
      <c r="F736" s="22"/>
    </row>
    <row r="737" customFormat="false" ht="15" hidden="false" customHeight="false" outlineLevel="0" collapsed="false">
      <c r="A737" s="21"/>
      <c r="B737" s="22"/>
      <c r="C737" s="23"/>
      <c r="D737" s="19" t="str">
        <f aca="false">IF($A737="","",IFERROR(IF(INDEX(tblKasa[Tarih],ROW($A737)-ROW(tblKasa[[#Headers],[Tarih]])+1)=0,RaporTarihi,INDEX(tblKasa[Tarih],ROW($A737)-ROW(tblKasa[[#Headers],[Tarih]])+1))-$A737,RaporTarihi-$A737))</f>
        <v/>
      </c>
      <c r="E737" s="18" t="n">
        <f aca="false">IF($C737="",0,ROUND($C737*$D737,0))</f>
        <v>0</v>
      </c>
      <c r="F737" s="22"/>
    </row>
    <row r="738" customFormat="false" ht="15" hidden="false" customHeight="false" outlineLevel="0" collapsed="false">
      <c r="A738" s="21"/>
      <c r="B738" s="22"/>
      <c r="C738" s="23"/>
      <c r="D738" s="19" t="str">
        <f aca="false">IF($A738="","",IFERROR(IF(INDEX(tblKasa[Tarih],ROW($A738)-ROW(tblKasa[[#Headers],[Tarih]])+1)=0,RaporTarihi,INDEX(tblKasa[Tarih],ROW($A738)-ROW(tblKasa[[#Headers],[Tarih]])+1))-$A738,RaporTarihi-$A738))</f>
        <v/>
      </c>
      <c r="E738" s="18" t="n">
        <f aca="false">IF($C738="",0,ROUND($C738*$D738,0))</f>
        <v>0</v>
      </c>
      <c r="F738" s="22"/>
    </row>
    <row r="739" customFormat="false" ht="15" hidden="false" customHeight="false" outlineLevel="0" collapsed="false">
      <c r="A739" s="21"/>
      <c r="B739" s="22"/>
      <c r="C739" s="23"/>
      <c r="D739" s="19" t="str">
        <f aca="false">IF($A739="","",IFERROR(IF(INDEX(tblKasa[Tarih],ROW($A739)-ROW(tblKasa[[#Headers],[Tarih]])+1)=0,RaporTarihi,INDEX(tblKasa[Tarih],ROW($A739)-ROW(tblKasa[[#Headers],[Tarih]])+1))-$A739,RaporTarihi-$A739))</f>
        <v/>
      </c>
      <c r="E739" s="18" t="n">
        <f aca="false">IF($C739="",0,ROUND($C739*$D739,0))</f>
        <v>0</v>
      </c>
      <c r="F739" s="22"/>
    </row>
    <row r="740" customFormat="false" ht="15" hidden="false" customHeight="false" outlineLevel="0" collapsed="false">
      <c r="A740" s="21"/>
      <c r="B740" s="22"/>
      <c r="C740" s="23"/>
      <c r="D740" s="19" t="str">
        <f aca="false">IF($A740="","",IFERROR(IF(INDEX(tblKasa[Tarih],ROW($A740)-ROW(tblKasa[[#Headers],[Tarih]])+1)=0,RaporTarihi,INDEX(tblKasa[Tarih],ROW($A740)-ROW(tblKasa[[#Headers],[Tarih]])+1))-$A740,RaporTarihi-$A740))</f>
        <v/>
      </c>
      <c r="E740" s="18" t="n">
        <f aca="false">IF($C740="",0,ROUND($C740*$D740,0))</f>
        <v>0</v>
      </c>
      <c r="F740" s="22"/>
    </row>
    <row r="741" customFormat="false" ht="15" hidden="false" customHeight="false" outlineLevel="0" collapsed="false">
      <c r="A741" s="21"/>
      <c r="B741" s="22"/>
      <c r="C741" s="23"/>
      <c r="D741" s="19" t="str">
        <f aca="false">IF($A741="","",IFERROR(IF(INDEX(tblKasa[Tarih],ROW($A741)-ROW(tblKasa[[#Headers],[Tarih]])+1)=0,RaporTarihi,INDEX(tblKasa[Tarih],ROW($A741)-ROW(tblKasa[[#Headers],[Tarih]])+1))-$A741,RaporTarihi-$A741))</f>
        <v/>
      </c>
      <c r="E741" s="18" t="n">
        <f aca="false">IF($C741="",0,ROUND($C741*$D741,0))</f>
        <v>0</v>
      </c>
      <c r="F741" s="22"/>
    </row>
    <row r="742" customFormat="false" ht="15" hidden="false" customHeight="false" outlineLevel="0" collapsed="false">
      <c r="A742" s="21"/>
      <c r="B742" s="22"/>
      <c r="C742" s="23"/>
      <c r="D742" s="19" t="str">
        <f aca="false">IF($A742="","",IFERROR(IF(INDEX(tblKasa[Tarih],ROW($A742)-ROW(tblKasa[[#Headers],[Tarih]])+1)=0,RaporTarihi,INDEX(tblKasa[Tarih],ROW($A742)-ROW(tblKasa[[#Headers],[Tarih]])+1))-$A742,RaporTarihi-$A742))</f>
        <v/>
      </c>
      <c r="E742" s="18" t="n">
        <f aca="false">IF($C742="",0,ROUND($C742*$D742,0))</f>
        <v>0</v>
      </c>
      <c r="F742" s="22"/>
    </row>
    <row r="743" customFormat="false" ht="15" hidden="false" customHeight="false" outlineLevel="0" collapsed="false">
      <c r="A743" s="21"/>
      <c r="B743" s="22"/>
      <c r="C743" s="23"/>
      <c r="D743" s="19" t="str">
        <f aca="false">IF($A743="","",IFERROR(IF(INDEX(tblKasa[Tarih],ROW($A743)-ROW(tblKasa[[#Headers],[Tarih]])+1)=0,RaporTarihi,INDEX(tblKasa[Tarih],ROW($A743)-ROW(tblKasa[[#Headers],[Tarih]])+1))-$A743,RaporTarihi-$A743))</f>
        <v/>
      </c>
      <c r="E743" s="18" t="n">
        <f aca="false">IF($C743="",0,ROUND($C743*$D743,0))</f>
        <v>0</v>
      </c>
      <c r="F743" s="22"/>
    </row>
    <row r="744" customFormat="false" ht="15" hidden="false" customHeight="false" outlineLevel="0" collapsed="false">
      <c r="A744" s="21"/>
      <c r="B744" s="22"/>
      <c r="C744" s="23"/>
      <c r="D744" s="19" t="str">
        <f aca="false">IF($A744="","",IFERROR(IF(INDEX(tblKasa[Tarih],ROW($A744)-ROW(tblKasa[[#Headers],[Tarih]])+1)=0,RaporTarihi,INDEX(tblKasa[Tarih],ROW($A744)-ROW(tblKasa[[#Headers],[Tarih]])+1))-$A744,RaporTarihi-$A744))</f>
        <v/>
      </c>
      <c r="E744" s="18" t="n">
        <f aca="false">IF($C744="",0,ROUND($C744*$D744,0))</f>
        <v>0</v>
      </c>
      <c r="F744" s="22"/>
    </row>
    <row r="745" customFormat="false" ht="15" hidden="false" customHeight="false" outlineLevel="0" collapsed="false">
      <c r="A745" s="21"/>
      <c r="B745" s="22"/>
      <c r="C745" s="23"/>
      <c r="D745" s="19" t="str">
        <f aca="false">IF($A745="","",IFERROR(IF(INDEX(tblKasa[Tarih],ROW($A745)-ROW(tblKasa[[#Headers],[Tarih]])+1)=0,RaporTarihi,INDEX(tblKasa[Tarih],ROW($A745)-ROW(tblKasa[[#Headers],[Tarih]])+1))-$A745,RaporTarihi-$A745))</f>
        <v/>
      </c>
      <c r="E745" s="18" t="n">
        <f aca="false">IF($C745="",0,ROUND($C745*$D745,0))</f>
        <v>0</v>
      </c>
      <c r="F745" s="22"/>
    </row>
    <row r="746" customFormat="false" ht="15" hidden="false" customHeight="false" outlineLevel="0" collapsed="false">
      <c r="A746" s="21"/>
      <c r="B746" s="22"/>
      <c r="C746" s="23"/>
      <c r="D746" s="19" t="str">
        <f aca="false">IF($A746="","",IFERROR(IF(INDEX(tblKasa[Tarih],ROW($A746)-ROW(tblKasa[[#Headers],[Tarih]])+1)=0,RaporTarihi,INDEX(tblKasa[Tarih],ROW($A746)-ROW(tblKasa[[#Headers],[Tarih]])+1))-$A746,RaporTarihi-$A746))</f>
        <v/>
      </c>
      <c r="E746" s="18" t="n">
        <f aca="false">IF($C746="",0,ROUND($C746*$D746,0))</f>
        <v>0</v>
      </c>
      <c r="F746" s="22"/>
    </row>
    <row r="747" customFormat="false" ht="15" hidden="false" customHeight="false" outlineLevel="0" collapsed="false">
      <c r="A747" s="21"/>
      <c r="B747" s="22"/>
      <c r="C747" s="23"/>
      <c r="D747" s="19" t="str">
        <f aca="false">IF($A747="","",IFERROR(IF(INDEX(tblKasa[Tarih],ROW($A747)-ROW(tblKasa[[#Headers],[Tarih]])+1)=0,RaporTarihi,INDEX(tblKasa[Tarih],ROW($A747)-ROW(tblKasa[[#Headers],[Tarih]])+1))-$A747,RaporTarihi-$A747))</f>
        <v/>
      </c>
      <c r="E747" s="18" t="n">
        <f aca="false">IF($C747="",0,ROUND($C747*$D747,0))</f>
        <v>0</v>
      </c>
      <c r="F747" s="22"/>
    </row>
    <row r="748" customFormat="false" ht="15" hidden="false" customHeight="false" outlineLevel="0" collapsed="false">
      <c r="A748" s="21"/>
      <c r="B748" s="22"/>
      <c r="C748" s="23"/>
      <c r="D748" s="19" t="str">
        <f aca="false">IF($A748="","",IFERROR(IF(INDEX(tblKasa[Tarih],ROW($A748)-ROW(tblKasa[[#Headers],[Tarih]])+1)=0,RaporTarihi,INDEX(tblKasa[Tarih],ROW($A748)-ROW(tblKasa[[#Headers],[Tarih]])+1))-$A748,RaporTarihi-$A748))</f>
        <v/>
      </c>
      <c r="E748" s="18" t="n">
        <f aca="false">IF($C748="",0,ROUND($C748*$D748,0))</f>
        <v>0</v>
      </c>
      <c r="F748" s="22"/>
    </row>
    <row r="749" customFormat="false" ht="15" hidden="false" customHeight="false" outlineLevel="0" collapsed="false">
      <c r="A749" s="21"/>
      <c r="B749" s="22"/>
      <c r="C749" s="23"/>
      <c r="D749" s="19" t="str">
        <f aca="false">IF($A749="","",IFERROR(IF(INDEX(tblKasa[Tarih],ROW($A749)-ROW(tblKasa[[#Headers],[Tarih]])+1)=0,RaporTarihi,INDEX(tblKasa[Tarih],ROW($A749)-ROW(tblKasa[[#Headers],[Tarih]])+1))-$A749,RaporTarihi-$A749))</f>
        <v/>
      </c>
      <c r="E749" s="18" t="n">
        <f aca="false">IF($C749="",0,ROUND($C749*$D749,0))</f>
        <v>0</v>
      </c>
      <c r="F749" s="22"/>
    </row>
    <row r="750" customFormat="false" ht="15" hidden="false" customHeight="false" outlineLevel="0" collapsed="false">
      <c r="A750" s="21"/>
      <c r="B750" s="22"/>
      <c r="C750" s="23"/>
      <c r="D750" s="19" t="str">
        <f aca="false">IF($A750="","",IFERROR(IF(INDEX(tblKasa[Tarih],ROW($A750)-ROW(tblKasa[[#Headers],[Tarih]])+1)=0,RaporTarihi,INDEX(tblKasa[Tarih],ROW($A750)-ROW(tblKasa[[#Headers],[Tarih]])+1))-$A750,RaporTarihi-$A750))</f>
        <v/>
      </c>
      <c r="E750" s="18" t="n">
        <f aca="false">IF($C750="",0,ROUND($C750*$D750,0))</f>
        <v>0</v>
      </c>
      <c r="F750" s="22"/>
    </row>
    <row r="751" customFormat="false" ht="15" hidden="false" customHeight="false" outlineLevel="0" collapsed="false">
      <c r="A751" s="21"/>
      <c r="B751" s="22"/>
      <c r="C751" s="23"/>
      <c r="D751" s="19" t="str">
        <f aca="false">IF($A751="","",IFERROR(IF(INDEX(tblKasa[Tarih],ROW($A751)-ROW(tblKasa[[#Headers],[Tarih]])+1)=0,RaporTarihi,INDEX(tblKasa[Tarih],ROW($A751)-ROW(tblKasa[[#Headers],[Tarih]])+1))-$A751,RaporTarihi-$A751))</f>
        <v/>
      </c>
      <c r="E751" s="18" t="n">
        <f aca="false">IF($C751="",0,ROUND($C751*$D751,0))</f>
        <v>0</v>
      </c>
      <c r="F751" s="22"/>
    </row>
    <row r="752" customFormat="false" ht="15" hidden="false" customHeight="false" outlineLevel="0" collapsed="false">
      <c r="A752" s="21"/>
      <c r="B752" s="22"/>
      <c r="C752" s="23"/>
      <c r="D752" s="19" t="str">
        <f aca="false">IF($A752="","",IFERROR(IF(INDEX(tblKasa[Tarih],ROW($A752)-ROW(tblKasa[[#Headers],[Tarih]])+1)=0,RaporTarihi,INDEX(tblKasa[Tarih],ROW($A752)-ROW(tblKasa[[#Headers],[Tarih]])+1))-$A752,RaporTarihi-$A752))</f>
        <v/>
      </c>
      <c r="E752" s="18" t="n">
        <f aca="false">IF($C752="",0,ROUND($C752*$D752,0))</f>
        <v>0</v>
      </c>
      <c r="F752" s="22"/>
    </row>
    <row r="753" customFormat="false" ht="15" hidden="false" customHeight="false" outlineLevel="0" collapsed="false">
      <c r="A753" s="21"/>
      <c r="B753" s="22"/>
      <c r="C753" s="23"/>
      <c r="D753" s="19" t="str">
        <f aca="false">IF($A753="","",IFERROR(IF(INDEX(tblKasa[Tarih],ROW($A753)-ROW(tblKasa[[#Headers],[Tarih]])+1)=0,RaporTarihi,INDEX(tblKasa[Tarih],ROW($A753)-ROW(tblKasa[[#Headers],[Tarih]])+1))-$A753,RaporTarihi-$A753))</f>
        <v/>
      </c>
      <c r="E753" s="18" t="n">
        <f aca="false">IF($C753="",0,ROUND($C753*$D753,0))</f>
        <v>0</v>
      </c>
      <c r="F753" s="22"/>
    </row>
    <row r="754" customFormat="false" ht="15" hidden="false" customHeight="false" outlineLevel="0" collapsed="false">
      <c r="A754" s="21"/>
      <c r="B754" s="22"/>
      <c r="C754" s="23"/>
      <c r="D754" s="19" t="str">
        <f aca="false">IF($A754="","",IFERROR(IF(INDEX(tblKasa[Tarih],ROW($A754)-ROW(tblKasa[[#Headers],[Tarih]])+1)=0,RaporTarihi,INDEX(tblKasa[Tarih],ROW($A754)-ROW(tblKasa[[#Headers],[Tarih]])+1))-$A754,RaporTarihi-$A754))</f>
        <v/>
      </c>
      <c r="E754" s="18" t="n">
        <f aca="false">IF($C754="",0,ROUND($C754*$D754,0))</f>
        <v>0</v>
      </c>
      <c r="F754" s="22"/>
    </row>
    <row r="755" customFormat="false" ht="15" hidden="false" customHeight="false" outlineLevel="0" collapsed="false">
      <c r="A755" s="21"/>
      <c r="B755" s="22"/>
      <c r="C755" s="23"/>
      <c r="D755" s="19" t="str">
        <f aca="false">IF($A755="","",IFERROR(IF(INDEX(tblKasa[Tarih],ROW($A755)-ROW(tblKasa[[#Headers],[Tarih]])+1)=0,RaporTarihi,INDEX(tblKasa[Tarih],ROW($A755)-ROW(tblKasa[[#Headers],[Tarih]])+1))-$A755,RaporTarihi-$A755))</f>
        <v/>
      </c>
      <c r="E755" s="18" t="n">
        <f aca="false">IF($C755="",0,ROUND($C755*$D755,0))</f>
        <v>0</v>
      </c>
      <c r="F755" s="22"/>
    </row>
    <row r="756" customFormat="false" ht="15" hidden="false" customHeight="false" outlineLevel="0" collapsed="false">
      <c r="A756" s="21"/>
      <c r="B756" s="22"/>
      <c r="C756" s="23"/>
      <c r="D756" s="19" t="str">
        <f aca="false">IF($A756="","",IFERROR(IF(INDEX(tblKasa[Tarih],ROW($A756)-ROW(tblKasa[[#Headers],[Tarih]])+1)=0,RaporTarihi,INDEX(tblKasa[Tarih],ROW($A756)-ROW(tblKasa[[#Headers],[Tarih]])+1))-$A756,RaporTarihi-$A756))</f>
        <v/>
      </c>
      <c r="E756" s="18" t="n">
        <f aca="false">IF($C756="",0,ROUND($C756*$D756,0))</f>
        <v>0</v>
      </c>
      <c r="F756" s="22"/>
    </row>
    <row r="757" customFormat="false" ht="15" hidden="false" customHeight="false" outlineLevel="0" collapsed="false">
      <c r="A757" s="21"/>
      <c r="B757" s="22"/>
      <c r="C757" s="23"/>
      <c r="D757" s="19" t="str">
        <f aca="false">IF($A757="","",IFERROR(IF(INDEX(tblKasa[Tarih],ROW($A757)-ROW(tblKasa[[#Headers],[Tarih]])+1)=0,RaporTarihi,INDEX(tblKasa[Tarih],ROW($A757)-ROW(tblKasa[[#Headers],[Tarih]])+1))-$A757,RaporTarihi-$A757))</f>
        <v/>
      </c>
      <c r="E757" s="18" t="n">
        <f aca="false">IF($C757="",0,ROUND($C757*$D757,0))</f>
        <v>0</v>
      </c>
      <c r="F757" s="22"/>
    </row>
    <row r="758" customFormat="false" ht="15" hidden="false" customHeight="false" outlineLevel="0" collapsed="false">
      <c r="A758" s="21"/>
      <c r="B758" s="22"/>
      <c r="C758" s="23"/>
      <c r="D758" s="19" t="str">
        <f aca="false">IF($A758="","",IFERROR(IF(INDEX(tblKasa[Tarih],ROW($A758)-ROW(tblKasa[[#Headers],[Tarih]])+1)=0,RaporTarihi,INDEX(tblKasa[Tarih],ROW($A758)-ROW(tblKasa[[#Headers],[Tarih]])+1))-$A758,RaporTarihi-$A758))</f>
        <v/>
      </c>
      <c r="E758" s="18" t="n">
        <f aca="false">IF($C758="",0,ROUND($C758*$D758,0))</f>
        <v>0</v>
      </c>
      <c r="F758" s="22"/>
    </row>
    <row r="759" customFormat="false" ht="15" hidden="false" customHeight="false" outlineLevel="0" collapsed="false">
      <c r="A759" s="21"/>
      <c r="B759" s="22"/>
      <c r="C759" s="23"/>
      <c r="D759" s="19" t="str">
        <f aca="false">IF($A759="","",IFERROR(IF(INDEX(tblKasa[Tarih],ROW($A759)-ROW(tblKasa[[#Headers],[Tarih]])+1)=0,RaporTarihi,INDEX(tblKasa[Tarih],ROW($A759)-ROW(tblKasa[[#Headers],[Tarih]])+1))-$A759,RaporTarihi-$A759))</f>
        <v/>
      </c>
      <c r="E759" s="18" t="n">
        <f aca="false">IF($C759="",0,ROUND($C759*$D759,0))</f>
        <v>0</v>
      </c>
      <c r="F759" s="22"/>
    </row>
    <row r="760" customFormat="false" ht="15" hidden="false" customHeight="false" outlineLevel="0" collapsed="false">
      <c r="A760" s="21"/>
      <c r="B760" s="22"/>
      <c r="C760" s="23"/>
      <c r="D760" s="19" t="str">
        <f aca="false">IF($A760="","",IFERROR(IF(INDEX(tblKasa[Tarih],ROW($A760)-ROW(tblKasa[[#Headers],[Tarih]])+1)=0,RaporTarihi,INDEX(tblKasa[Tarih],ROW($A760)-ROW(tblKasa[[#Headers],[Tarih]])+1))-$A760,RaporTarihi-$A760))</f>
        <v/>
      </c>
      <c r="E760" s="18" t="n">
        <f aca="false">IF($C760="",0,ROUND($C760*$D760,0))</f>
        <v>0</v>
      </c>
      <c r="F760" s="22"/>
    </row>
    <row r="761" customFormat="false" ht="15" hidden="false" customHeight="false" outlineLevel="0" collapsed="false">
      <c r="A761" s="21"/>
      <c r="B761" s="22"/>
      <c r="C761" s="23"/>
      <c r="D761" s="19" t="str">
        <f aca="false">IF($A761="","",IFERROR(IF(INDEX(tblKasa[Tarih],ROW($A761)-ROW(tblKasa[[#Headers],[Tarih]])+1)=0,RaporTarihi,INDEX(tblKasa[Tarih],ROW($A761)-ROW(tblKasa[[#Headers],[Tarih]])+1))-$A761,RaporTarihi-$A761))</f>
        <v/>
      </c>
      <c r="E761" s="18" t="n">
        <f aca="false">IF($C761="",0,ROUND($C761*$D761,0))</f>
        <v>0</v>
      </c>
      <c r="F761" s="22"/>
    </row>
    <row r="762" customFormat="false" ht="15" hidden="false" customHeight="false" outlineLevel="0" collapsed="false">
      <c r="A762" s="21"/>
      <c r="B762" s="22"/>
      <c r="C762" s="23"/>
      <c r="D762" s="19" t="str">
        <f aca="false">IF($A762="","",IFERROR(IF(INDEX(tblKasa[Tarih],ROW($A762)-ROW(tblKasa[[#Headers],[Tarih]])+1)=0,RaporTarihi,INDEX(tblKasa[Tarih],ROW($A762)-ROW(tblKasa[[#Headers],[Tarih]])+1))-$A762,RaporTarihi-$A762))</f>
        <v/>
      </c>
      <c r="E762" s="18" t="n">
        <f aca="false">IF($C762="",0,ROUND($C762*$D762,0))</f>
        <v>0</v>
      </c>
      <c r="F762" s="22"/>
    </row>
    <row r="763" customFormat="false" ht="15" hidden="false" customHeight="false" outlineLevel="0" collapsed="false">
      <c r="A763" s="21"/>
      <c r="B763" s="22"/>
      <c r="C763" s="23"/>
      <c r="D763" s="19" t="str">
        <f aca="false">IF($A763="","",IFERROR(IF(INDEX(tblKasa[Tarih],ROW($A763)-ROW(tblKasa[[#Headers],[Tarih]])+1)=0,RaporTarihi,INDEX(tblKasa[Tarih],ROW($A763)-ROW(tblKasa[[#Headers],[Tarih]])+1))-$A763,RaporTarihi-$A763))</f>
        <v/>
      </c>
      <c r="E763" s="18" t="n">
        <f aca="false">IF($C763="",0,ROUND($C763*$D763,0))</f>
        <v>0</v>
      </c>
      <c r="F763" s="22"/>
    </row>
    <row r="764" customFormat="false" ht="15" hidden="false" customHeight="false" outlineLevel="0" collapsed="false">
      <c r="A764" s="21"/>
      <c r="B764" s="22"/>
      <c r="C764" s="23"/>
      <c r="D764" s="19" t="str">
        <f aca="false">IF($A764="","",IFERROR(IF(INDEX(tblKasa[Tarih],ROW($A764)-ROW(tblKasa[[#Headers],[Tarih]])+1)=0,RaporTarihi,INDEX(tblKasa[Tarih],ROW($A764)-ROW(tblKasa[[#Headers],[Tarih]])+1))-$A764,RaporTarihi-$A764))</f>
        <v/>
      </c>
      <c r="E764" s="18" t="n">
        <f aca="false">IF($C764="",0,ROUND($C764*$D764,0))</f>
        <v>0</v>
      </c>
      <c r="F764" s="22"/>
    </row>
    <row r="765" customFormat="false" ht="15" hidden="false" customHeight="false" outlineLevel="0" collapsed="false">
      <c r="A765" s="21"/>
      <c r="B765" s="22"/>
      <c r="C765" s="23"/>
      <c r="D765" s="19" t="str">
        <f aca="false">IF($A765="","",IFERROR(IF(INDEX(tblKasa[Tarih],ROW($A765)-ROW(tblKasa[[#Headers],[Tarih]])+1)=0,RaporTarihi,INDEX(tblKasa[Tarih],ROW($A765)-ROW(tblKasa[[#Headers],[Tarih]])+1))-$A765,RaporTarihi-$A765))</f>
        <v/>
      </c>
      <c r="E765" s="18" t="n">
        <f aca="false">IF($C765="",0,ROUND($C765*$D765,0))</f>
        <v>0</v>
      </c>
      <c r="F765" s="22"/>
    </row>
    <row r="766" customFormat="false" ht="15" hidden="false" customHeight="false" outlineLevel="0" collapsed="false">
      <c r="A766" s="21"/>
      <c r="B766" s="22"/>
      <c r="C766" s="23"/>
      <c r="D766" s="19" t="str">
        <f aca="false">IF($A766="","",IFERROR(IF(INDEX(tblKasa[Tarih],ROW($A766)-ROW(tblKasa[[#Headers],[Tarih]])+1)=0,RaporTarihi,INDEX(tblKasa[Tarih],ROW($A766)-ROW(tblKasa[[#Headers],[Tarih]])+1))-$A766,RaporTarihi-$A766))</f>
        <v/>
      </c>
      <c r="E766" s="18" t="n">
        <f aca="false">IF($C766="",0,ROUND($C766*$D766,0))</f>
        <v>0</v>
      </c>
      <c r="F766" s="22"/>
    </row>
    <row r="767" customFormat="false" ht="15" hidden="false" customHeight="false" outlineLevel="0" collapsed="false">
      <c r="A767" s="21"/>
      <c r="B767" s="22"/>
      <c r="C767" s="23"/>
      <c r="D767" s="19" t="str">
        <f aca="false">IF($A767="","",IFERROR(IF(INDEX(tblKasa[Tarih],ROW($A767)-ROW(tblKasa[[#Headers],[Tarih]])+1)=0,RaporTarihi,INDEX(tblKasa[Tarih],ROW($A767)-ROW(tblKasa[[#Headers],[Tarih]])+1))-$A767,RaporTarihi-$A767))</f>
        <v/>
      </c>
      <c r="E767" s="18" t="n">
        <f aca="false">IF($C767="",0,ROUND($C767*$D767,0))</f>
        <v>0</v>
      </c>
      <c r="F767" s="22"/>
    </row>
    <row r="768" customFormat="false" ht="15" hidden="false" customHeight="false" outlineLevel="0" collapsed="false">
      <c r="A768" s="21"/>
      <c r="B768" s="22"/>
      <c r="C768" s="23"/>
      <c r="D768" s="19" t="str">
        <f aca="false">IF($A768="","",IFERROR(IF(INDEX(tblKasa[Tarih],ROW($A768)-ROW(tblKasa[[#Headers],[Tarih]])+1)=0,RaporTarihi,INDEX(tblKasa[Tarih],ROW($A768)-ROW(tblKasa[[#Headers],[Tarih]])+1))-$A768,RaporTarihi-$A768))</f>
        <v/>
      </c>
      <c r="E768" s="18" t="n">
        <f aca="false">IF($C768="",0,ROUND($C768*$D768,0))</f>
        <v>0</v>
      </c>
      <c r="F768" s="22"/>
    </row>
    <row r="769" customFormat="false" ht="15" hidden="false" customHeight="false" outlineLevel="0" collapsed="false">
      <c r="A769" s="21"/>
      <c r="B769" s="22"/>
      <c r="C769" s="23"/>
      <c r="D769" s="19" t="str">
        <f aca="false">IF($A769="","",IFERROR(IF(INDEX(tblKasa[Tarih],ROW($A769)-ROW(tblKasa[[#Headers],[Tarih]])+1)=0,RaporTarihi,INDEX(tblKasa[Tarih],ROW($A769)-ROW(tblKasa[[#Headers],[Tarih]])+1))-$A769,RaporTarihi-$A769))</f>
        <v/>
      </c>
      <c r="E769" s="18" t="n">
        <f aca="false">IF($C769="",0,ROUND($C769*$D769,0))</f>
        <v>0</v>
      </c>
      <c r="F769" s="22"/>
    </row>
    <row r="770" customFormat="false" ht="15" hidden="false" customHeight="false" outlineLevel="0" collapsed="false">
      <c r="A770" s="21"/>
      <c r="B770" s="22"/>
      <c r="C770" s="23"/>
      <c r="D770" s="19" t="str">
        <f aca="false">IF($A770="","",IFERROR(IF(INDEX(tblKasa[Tarih],ROW($A770)-ROW(tblKasa[[#Headers],[Tarih]])+1)=0,RaporTarihi,INDEX(tblKasa[Tarih],ROW($A770)-ROW(tblKasa[[#Headers],[Tarih]])+1))-$A770,RaporTarihi-$A770))</f>
        <v/>
      </c>
      <c r="E770" s="18" t="n">
        <f aca="false">IF($C770="",0,ROUND($C770*$D770,0))</f>
        <v>0</v>
      </c>
      <c r="F770" s="22"/>
    </row>
    <row r="771" customFormat="false" ht="15" hidden="false" customHeight="false" outlineLevel="0" collapsed="false">
      <c r="A771" s="21"/>
      <c r="B771" s="22"/>
      <c r="C771" s="23"/>
      <c r="D771" s="19" t="str">
        <f aca="false">IF($A771="","",IFERROR(IF(INDEX(tblKasa[Tarih],ROW($A771)-ROW(tblKasa[[#Headers],[Tarih]])+1)=0,RaporTarihi,INDEX(tblKasa[Tarih],ROW($A771)-ROW(tblKasa[[#Headers],[Tarih]])+1))-$A771,RaporTarihi-$A771))</f>
        <v/>
      </c>
      <c r="E771" s="18" t="n">
        <f aca="false">IF($C771="",0,ROUND($C771*$D771,0))</f>
        <v>0</v>
      </c>
      <c r="F771" s="22"/>
    </row>
    <row r="772" customFormat="false" ht="15" hidden="false" customHeight="false" outlineLevel="0" collapsed="false">
      <c r="A772" s="21"/>
      <c r="B772" s="22"/>
      <c r="C772" s="23"/>
      <c r="D772" s="19" t="str">
        <f aca="false">IF($A772="","",IFERROR(IF(INDEX(tblKasa[Tarih],ROW($A772)-ROW(tblKasa[[#Headers],[Tarih]])+1)=0,RaporTarihi,INDEX(tblKasa[Tarih],ROW($A772)-ROW(tblKasa[[#Headers],[Tarih]])+1))-$A772,RaporTarihi-$A772))</f>
        <v/>
      </c>
      <c r="E772" s="18" t="n">
        <f aca="false">IF($C772="",0,ROUND($C772*$D772,0))</f>
        <v>0</v>
      </c>
      <c r="F772" s="22"/>
    </row>
    <row r="773" customFormat="false" ht="15" hidden="false" customHeight="false" outlineLevel="0" collapsed="false">
      <c r="A773" s="21"/>
      <c r="B773" s="22"/>
      <c r="C773" s="23"/>
      <c r="D773" s="19" t="str">
        <f aca="false">IF($A773="","",IFERROR(IF(INDEX(tblKasa[Tarih],ROW($A773)-ROW(tblKasa[[#Headers],[Tarih]])+1)=0,RaporTarihi,INDEX(tblKasa[Tarih],ROW($A773)-ROW(tblKasa[[#Headers],[Tarih]])+1))-$A773,RaporTarihi-$A773))</f>
        <v/>
      </c>
      <c r="E773" s="18" t="n">
        <f aca="false">IF($C773="",0,ROUND($C773*$D773,0))</f>
        <v>0</v>
      </c>
      <c r="F773" s="22"/>
    </row>
    <row r="774" customFormat="false" ht="15" hidden="false" customHeight="false" outlineLevel="0" collapsed="false">
      <c r="A774" s="21"/>
      <c r="B774" s="22"/>
      <c r="C774" s="23"/>
      <c r="D774" s="19" t="str">
        <f aca="false">IF($A774="","",IFERROR(IF(INDEX(tblKasa[Tarih],ROW($A774)-ROW(tblKasa[[#Headers],[Tarih]])+1)=0,RaporTarihi,INDEX(tblKasa[Tarih],ROW($A774)-ROW(tblKasa[[#Headers],[Tarih]])+1))-$A774,RaporTarihi-$A774))</f>
        <v/>
      </c>
      <c r="E774" s="18" t="n">
        <f aca="false">IF($C774="",0,ROUND($C774*$D774,0))</f>
        <v>0</v>
      </c>
      <c r="F774" s="22"/>
    </row>
    <row r="775" customFormat="false" ht="15" hidden="false" customHeight="false" outlineLevel="0" collapsed="false">
      <c r="A775" s="21"/>
      <c r="B775" s="22"/>
      <c r="C775" s="23"/>
      <c r="D775" s="19" t="str">
        <f aca="false">IF($A775="","",IFERROR(IF(INDEX(tblKasa[Tarih],ROW($A775)-ROW(tblKasa[[#Headers],[Tarih]])+1)=0,RaporTarihi,INDEX(tblKasa[Tarih],ROW($A775)-ROW(tblKasa[[#Headers],[Tarih]])+1))-$A775,RaporTarihi-$A775))</f>
        <v/>
      </c>
      <c r="E775" s="18" t="n">
        <f aca="false">IF($C775="",0,ROUND($C775*$D775,0))</f>
        <v>0</v>
      </c>
      <c r="F775" s="22"/>
    </row>
    <row r="776" customFormat="false" ht="15" hidden="false" customHeight="false" outlineLevel="0" collapsed="false">
      <c r="A776" s="21"/>
      <c r="B776" s="22"/>
      <c r="C776" s="23"/>
      <c r="D776" s="19" t="str">
        <f aca="false">IF($A776="","",IFERROR(IF(INDEX(tblKasa[Tarih],ROW($A776)-ROW(tblKasa[[#Headers],[Tarih]])+1)=0,RaporTarihi,INDEX(tblKasa[Tarih],ROW($A776)-ROW(tblKasa[[#Headers],[Tarih]])+1))-$A776,RaporTarihi-$A776))</f>
        <v/>
      </c>
      <c r="E776" s="18" t="n">
        <f aca="false">IF($C776="",0,ROUND($C776*$D776,0))</f>
        <v>0</v>
      </c>
      <c r="F776" s="22"/>
    </row>
    <row r="777" customFormat="false" ht="15" hidden="false" customHeight="false" outlineLevel="0" collapsed="false">
      <c r="A777" s="21"/>
      <c r="B777" s="22"/>
      <c r="C777" s="23"/>
      <c r="D777" s="19" t="str">
        <f aca="false">IF($A777="","",IFERROR(IF(INDEX(tblKasa[Tarih],ROW($A777)-ROW(tblKasa[[#Headers],[Tarih]])+1)=0,RaporTarihi,INDEX(tblKasa[Tarih],ROW($A777)-ROW(tblKasa[[#Headers],[Tarih]])+1))-$A777,RaporTarihi-$A777))</f>
        <v/>
      </c>
      <c r="E777" s="18" t="n">
        <f aca="false">IF($C777="",0,ROUND($C777*$D777,0))</f>
        <v>0</v>
      </c>
      <c r="F777" s="22"/>
    </row>
    <row r="778" customFormat="false" ht="15" hidden="false" customHeight="false" outlineLevel="0" collapsed="false">
      <c r="A778" s="21"/>
      <c r="B778" s="22"/>
      <c r="C778" s="23"/>
      <c r="D778" s="19" t="str">
        <f aca="false">IF($A778="","",IFERROR(IF(INDEX(tblKasa[Tarih],ROW($A778)-ROW(tblKasa[[#Headers],[Tarih]])+1)=0,RaporTarihi,INDEX(tblKasa[Tarih],ROW($A778)-ROW(tblKasa[[#Headers],[Tarih]])+1))-$A778,RaporTarihi-$A778))</f>
        <v/>
      </c>
      <c r="E778" s="18" t="n">
        <f aca="false">IF($C778="",0,ROUND($C778*$D778,0))</f>
        <v>0</v>
      </c>
      <c r="F778" s="22"/>
    </row>
    <row r="779" customFormat="false" ht="15" hidden="false" customHeight="false" outlineLevel="0" collapsed="false">
      <c r="A779" s="21"/>
      <c r="B779" s="22"/>
      <c r="C779" s="23"/>
      <c r="D779" s="19" t="str">
        <f aca="false">IF($A779="","",IFERROR(IF(INDEX(tblKasa[Tarih],ROW($A779)-ROW(tblKasa[[#Headers],[Tarih]])+1)=0,RaporTarihi,INDEX(tblKasa[Tarih],ROW($A779)-ROW(tblKasa[[#Headers],[Tarih]])+1))-$A779,RaporTarihi-$A779))</f>
        <v/>
      </c>
      <c r="E779" s="18" t="n">
        <f aca="false">IF($C779="",0,ROUND($C779*$D779,0))</f>
        <v>0</v>
      </c>
      <c r="F779" s="22"/>
    </row>
    <row r="780" customFormat="false" ht="15" hidden="false" customHeight="false" outlineLevel="0" collapsed="false">
      <c r="A780" s="21"/>
      <c r="B780" s="22"/>
      <c r="C780" s="23"/>
      <c r="D780" s="19" t="str">
        <f aca="false">IF($A780="","",IFERROR(IF(INDEX(tblKasa[Tarih],ROW($A780)-ROW(tblKasa[[#Headers],[Tarih]])+1)=0,RaporTarihi,INDEX(tblKasa[Tarih],ROW($A780)-ROW(tblKasa[[#Headers],[Tarih]])+1))-$A780,RaporTarihi-$A780))</f>
        <v/>
      </c>
      <c r="E780" s="18" t="n">
        <f aca="false">IF($C780="",0,ROUND($C780*$D780,0))</f>
        <v>0</v>
      </c>
      <c r="F780" s="22"/>
    </row>
    <row r="781" customFormat="false" ht="15" hidden="false" customHeight="false" outlineLevel="0" collapsed="false">
      <c r="A781" s="21"/>
      <c r="B781" s="22"/>
      <c r="C781" s="23"/>
      <c r="D781" s="19" t="str">
        <f aca="false">IF($A781="","",IFERROR(IF(INDEX(tblKasa[Tarih],ROW($A781)-ROW(tblKasa[[#Headers],[Tarih]])+1)=0,RaporTarihi,INDEX(tblKasa[Tarih],ROW($A781)-ROW(tblKasa[[#Headers],[Tarih]])+1))-$A781,RaporTarihi-$A781))</f>
        <v/>
      </c>
      <c r="E781" s="18" t="n">
        <f aca="false">IF($C781="",0,ROUND($C781*$D781,0))</f>
        <v>0</v>
      </c>
      <c r="F781" s="22"/>
    </row>
    <row r="782" customFormat="false" ht="15" hidden="false" customHeight="false" outlineLevel="0" collapsed="false">
      <c r="A782" s="21"/>
      <c r="B782" s="22"/>
      <c r="C782" s="23"/>
      <c r="D782" s="19" t="str">
        <f aca="false">IF($A782="","",IFERROR(IF(INDEX(tblKasa[Tarih],ROW($A782)-ROW(tblKasa[[#Headers],[Tarih]])+1)=0,RaporTarihi,INDEX(tblKasa[Tarih],ROW($A782)-ROW(tblKasa[[#Headers],[Tarih]])+1))-$A782,RaporTarihi-$A782))</f>
        <v/>
      </c>
      <c r="E782" s="18" t="n">
        <f aca="false">IF($C782="",0,ROUND($C782*$D782,0))</f>
        <v>0</v>
      </c>
      <c r="F782" s="22"/>
    </row>
    <row r="783" customFormat="false" ht="15" hidden="false" customHeight="false" outlineLevel="0" collapsed="false">
      <c r="A783" s="21"/>
      <c r="B783" s="22"/>
      <c r="C783" s="23"/>
      <c r="D783" s="19" t="str">
        <f aca="false">IF($A783="","",IFERROR(IF(INDEX(tblKasa[Tarih],ROW($A783)-ROW(tblKasa[[#Headers],[Tarih]])+1)=0,RaporTarihi,INDEX(tblKasa[Tarih],ROW($A783)-ROW(tblKasa[[#Headers],[Tarih]])+1))-$A783,RaporTarihi-$A783))</f>
        <v/>
      </c>
      <c r="E783" s="18" t="n">
        <f aca="false">IF($C783="",0,ROUND($C783*$D783,0))</f>
        <v>0</v>
      </c>
      <c r="F783" s="22"/>
    </row>
    <row r="784" customFormat="false" ht="15" hidden="false" customHeight="false" outlineLevel="0" collapsed="false">
      <c r="A784" s="21"/>
      <c r="B784" s="22"/>
      <c r="C784" s="23"/>
      <c r="D784" s="19" t="str">
        <f aca="false">IF($A784="","",IFERROR(IF(INDEX(tblKasa[Tarih],ROW($A784)-ROW(tblKasa[[#Headers],[Tarih]])+1)=0,RaporTarihi,INDEX(tblKasa[Tarih],ROW($A784)-ROW(tblKasa[[#Headers],[Tarih]])+1))-$A784,RaporTarihi-$A784))</f>
        <v/>
      </c>
      <c r="E784" s="18" t="n">
        <f aca="false">IF($C784="",0,ROUND($C784*$D784,0))</f>
        <v>0</v>
      </c>
      <c r="F784" s="22"/>
    </row>
    <row r="785" customFormat="false" ht="15" hidden="false" customHeight="false" outlineLevel="0" collapsed="false">
      <c r="A785" s="21"/>
      <c r="B785" s="22"/>
      <c r="C785" s="23"/>
      <c r="D785" s="19" t="str">
        <f aca="false">IF($A785="","",IFERROR(IF(INDEX(tblKasa[Tarih],ROW($A785)-ROW(tblKasa[[#Headers],[Tarih]])+1)=0,RaporTarihi,INDEX(tblKasa[Tarih],ROW($A785)-ROW(tblKasa[[#Headers],[Tarih]])+1))-$A785,RaporTarihi-$A785))</f>
        <v/>
      </c>
      <c r="E785" s="18" t="n">
        <f aca="false">IF($C785="",0,ROUND($C785*$D785,0))</f>
        <v>0</v>
      </c>
      <c r="F785" s="22"/>
    </row>
    <row r="786" customFormat="false" ht="15" hidden="false" customHeight="false" outlineLevel="0" collapsed="false">
      <c r="A786" s="21"/>
      <c r="B786" s="22"/>
      <c r="C786" s="23"/>
      <c r="D786" s="19" t="str">
        <f aca="false">IF($A786="","",IFERROR(IF(INDEX(tblKasa[Tarih],ROW($A786)-ROW(tblKasa[[#Headers],[Tarih]])+1)=0,RaporTarihi,INDEX(tblKasa[Tarih],ROW($A786)-ROW(tblKasa[[#Headers],[Tarih]])+1))-$A786,RaporTarihi-$A786))</f>
        <v/>
      </c>
      <c r="E786" s="18" t="n">
        <f aca="false">IF($C786="",0,ROUND($C786*$D786,0))</f>
        <v>0</v>
      </c>
      <c r="F786" s="22"/>
    </row>
    <row r="787" customFormat="false" ht="15" hidden="false" customHeight="false" outlineLevel="0" collapsed="false">
      <c r="A787" s="21"/>
      <c r="B787" s="22"/>
      <c r="C787" s="23"/>
      <c r="D787" s="19" t="str">
        <f aca="false">IF($A787="","",IFERROR(IF(INDEX(tblKasa[Tarih],ROW($A787)-ROW(tblKasa[[#Headers],[Tarih]])+1)=0,RaporTarihi,INDEX(tblKasa[Tarih],ROW($A787)-ROW(tblKasa[[#Headers],[Tarih]])+1))-$A787,RaporTarihi-$A787))</f>
        <v/>
      </c>
      <c r="E787" s="18" t="n">
        <f aca="false">IF($C787="",0,ROUND($C787*$D787,0))</f>
        <v>0</v>
      </c>
      <c r="F787" s="22"/>
    </row>
    <row r="788" customFormat="false" ht="15" hidden="false" customHeight="false" outlineLevel="0" collapsed="false">
      <c r="A788" s="21"/>
      <c r="B788" s="22"/>
      <c r="C788" s="23"/>
      <c r="D788" s="19" t="str">
        <f aca="false">IF($A788="","",IFERROR(IF(INDEX(tblKasa[Tarih],ROW($A788)-ROW(tblKasa[[#Headers],[Tarih]])+1)=0,RaporTarihi,INDEX(tblKasa[Tarih],ROW($A788)-ROW(tblKasa[[#Headers],[Tarih]])+1))-$A788,RaporTarihi-$A788))</f>
        <v/>
      </c>
      <c r="E788" s="18" t="n">
        <f aca="false">IF($C788="",0,ROUND($C788*$D788,0))</f>
        <v>0</v>
      </c>
      <c r="F788" s="22"/>
    </row>
    <row r="789" customFormat="false" ht="15" hidden="false" customHeight="false" outlineLevel="0" collapsed="false">
      <c r="A789" s="21"/>
      <c r="B789" s="22"/>
      <c r="C789" s="23"/>
      <c r="D789" s="19" t="str">
        <f aca="false">IF($A789="","",IFERROR(IF(INDEX(tblKasa[Tarih],ROW($A789)-ROW(tblKasa[[#Headers],[Tarih]])+1)=0,RaporTarihi,INDEX(tblKasa[Tarih],ROW($A789)-ROW(tblKasa[[#Headers],[Tarih]])+1))-$A789,RaporTarihi-$A789))</f>
        <v/>
      </c>
      <c r="E789" s="18" t="n">
        <f aca="false">IF($C789="",0,ROUND($C789*$D789,0))</f>
        <v>0</v>
      </c>
      <c r="F789" s="22"/>
    </row>
    <row r="790" customFormat="false" ht="15" hidden="false" customHeight="false" outlineLevel="0" collapsed="false">
      <c r="A790" s="21"/>
      <c r="B790" s="22"/>
      <c r="C790" s="23"/>
      <c r="D790" s="19" t="str">
        <f aca="false">IF($A790="","",IFERROR(IF(INDEX(tblKasa[Tarih],ROW($A790)-ROW(tblKasa[[#Headers],[Tarih]])+1)=0,RaporTarihi,INDEX(tblKasa[Tarih],ROW($A790)-ROW(tblKasa[[#Headers],[Tarih]])+1))-$A790,RaporTarihi-$A790))</f>
        <v/>
      </c>
      <c r="E790" s="18" t="n">
        <f aca="false">IF($C790="",0,ROUND($C790*$D790,0))</f>
        <v>0</v>
      </c>
      <c r="F790" s="22"/>
    </row>
    <row r="791" customFormat="false" ht="15" hidden="false" customHeight="false" outlineLevel="0" collapsed="false">
      <c r="A791" s="21"/>
      <c r="B791" s="22"/>
      <c r="C791" s="23"/>
      <c r="D791" s="19" t="str">
        <f aca="false">IF($A791="","",IFERROR(IF(INDEX(tblKasa[Tarih],ROW($A791)-ROW(tblKasa[[#Headers],[Tarih]])+1)=0,RaporTarihi,INDEX(tblKasa[Tarih],ROW($A791)-ROW(tblKasa[[#Headers],[Tarih]])+1))-$A791,RaporTarihi-$A791))</f>
        <v/>
      </c>
      <c r="E791" s="18" t="n">
        <f aca="false">IF($C791="",0,ROUND($C791*$D791,0))</f>
        <v>0</v>
      </c>
      <c r="F791" s="22"/>
    </row>
    <row r="792" customFormat="false" ht="15" hidden="false" customHeight="false" outlineLevel="0" collapsed="false">
      <c r="A792" s="21"/>
      <c r="B792" s="22"/>
      <c r="C792" s="23"/>
      <c r="D792" s="19" t="str">
        <f aca="false">IF($A792="","",IFERROR(IF(INDEX(tblKasa[Tarih],ROW($A792)-ROW(tblKasa[[#Headers],[Tarih]])+1)=0,RaporTarihi,INDEX(tblKasa[Tarih],ROW($A792)-ROW(tblKasa[[#Headers],[Tarih]])+1))-$A792,RaporTarihi-$A792))</f>
        <v/>
      </c>
      <c r="E792" s="18" t="n">
        <f aca="false">IF($C792="",0,ROUND($C792*$D792,0))</f>
        <v>0</v>
      </c>
      <c r="F792" s="22"/>
    </row>
    <row r="793" customFormat="false" ht="15" hidden="false" customHeight="false" outlineLevel="0" collapsed="false">
      <c r="A793" s="21"/>
      <c r="B793" s="22"/>
      <c r="C793" s="23"/>
      <c r="D793" s="19" t="str">
        <f aca="false">IF($A793="","",IFERROR(IF(INDEX(tblKasa[Tarih],ROW($A793)-ROW(tblKasa[[#Headers],[Tarih]])+1)=0,RaporTarihi,INDEX(tblKasa[Tarih],ROW($A793)-ROW(tblKasa[[#Headers],[Tarih]])+1))-$A793,RaporTarihi-$A793))</f>
        <v/>
      </c>
      <c r="E793" s="18" t="n">
        <f aca="false">IF($C793="",0,ROUND($C793*$D793,0))</f>
        <v>0</v>
      </c>
      <c r="F793" s="22"/>
    </row>
    <row r="794" customFormat="false" ht="15" hidden="false" customHeight="false" outlineLevel="0" collapsed="false">
      <c r="A794" s="21"/>
      <c r="B794" s="22"/>
      <c r="C794" s="23"/>
      <c r="D794" s="19" t="str">
        <f aca="false">IF($A794="","",IFERROR(IF(INDEX(tblKasa[Tarih],ROW($A794)-ROW(tblKasa[[#Headers],[Tarih]])+1)=0,RaporTarihi,INDEX(tblKasa[Tarih],ROW($A794)-ROW(tblKasa[[#Headers],[Tarih]])+1))-$A794,RaporTarihi-$A794))</f>
        <v/>
      </c>
      <c r="E794" s="18" t="n">
        <f aca="false">IF($C794="",0,ROUND($C794*$D794,0))</f>
        <v>0</v>
      </c>
      <c r="F794" s="22"/>
    </row>
    <row r="795" customFormat="false" ht="15" hidden="false" customHeight="false" outlineLevel="0" collapsed="false">
      <c r="A795" s="21"/>
      <c r="B795" s="22"/>
      <c r="C795" s="23"/>
      <c r="D795" s="19" t="str">
        <f aca="false">IF($A795="","",IFERROR(IF(INDEX(tblKasa[Tarih],ROW($A795)-ROW(tblKasa[[#Headers],[Tarih]])+1)=0,RaporTarihi,INDEX(tblKasa[Tarih],ROW($A795)-ROW(tblKasa[[#Headers],[Tarih]])+1))-$A795,RaporTarihi-$A795))</f>
        <v/>
      </c>
      <c r="E795" s="18" t="n">
        <f aca="false">IF($C795="",0,ROUND($C795*$D795,0))</f>
        <v>0</v>
      </c>
      <c r="F795" s="22"/>
    </row>
    <row r="796" customFormat="false" ht="15" hidden="false" customHeight="false" outlineLevel="0" collapsed="false">
      <c r="A796" s="21"/>
      <c r="B796" s="22"/>
      <c r="C796" s="23"/>
      <c r="D796" s="19" t="str">
        <f aca="false">IF($A796="","",IFERROR(IF(INDEX(tblKasa[Tarih],ROW($A796)-ROW(tblKasa[[#Headers],[Tarih]])+1)=0,RaporTarihi,INDEX(tblKasa[Tarih],ROW($A796)-ROW(tblKasa[[#Headers],[Tarih]])+1))-$A796,RaporTarihi-$A796))</f>
        <v/>
      </c>
      <c r="E796" s="18" t="n">
        <f aca="false">IF($C796="",0,ROUND($C796*$D796,0))</f>
        <v>0</v>
      </c>
      <c r="F796" s="22"/>
    </row>
    <row r="797" customFormat="false" ht="15" hidden="false" customHeight="false" outlineLevel="0" collapsed="false">
      <c r="A797" s="21"/>
      <c r="B797" s="22"/>
      <c r="C797" s="23"/>
      <c r="D797" s="19" t="str">
        <f aca="false">IF($A797="","",IFERROR(IF(INDEX(tblKasa[Tarih],ROW($A797)-ROW(tblKasa[[#Headers],[Tarih]])+1)=0,RaporTarihi,INDEX(tblKasa[Tarih],ROW($A797)-ROW(tblKasa[[#Headers],[Tarih]])+1))-$A797,RaporTarihi-$A797))</f>
        <v/>
      </c>
      <c r="E797" s="18" t="n">
        <f aca="false">IF($C797="",0,ROUND($C797*$D797,0))</f>
        <v>0</v>
      </c>
      <c r="F797" s="22"/>
    </row>
    <row r="798" customFormat="false" ht="15" hidden="false" customHeight="false" outlineLevel="0" collapsed="false">
      <c r="A798" s="21"/>
      <c r="B798" s="22"/>
      <c r="C798" s="23"/>
      <c r="D798" s="19" t="str">
        <f aca="false">IF($A798="","",IFERROR(IF(INDEX(tblKasa[Tarih],ROW($A798)-ROW(tblKasa[[#Headers],[Tarih]])+1)=0,RaporTarihi,INDEX(tblKasa[Tarih],ROW($A798)-ROW(tblKasa[[#Headers],[Tarih]])+1))-$A798,RaporTarihi-$A798))</f>
        <v/>
      </c>
      <c r="E798" s="18" t="n">
        <f aca="false">IF($C798="",0,ROUND($C798*$D798,0))</f>
        <v>0</v>
      </c>
      <c r="F798" s="22"/>
    </row>
    <row r="799" customFormat="false" ht="15" hidden="false" customHeight="false" outlineLevel="0" collapsed="false">
      <c r="A799" s="21"/>
      <c r="B799" s="22"/>
      <c r="C799" s="23"/>
      <c r="D799" s="19" t="str">
        <f aca="false">IF($A799="","",IFERROR(IF(INDEX(tblKasa[Tarih],ROW($A799)-ROW(tblKasa[[#Headers],[Tarih]])+1)=0,RaporTarihi,INDEX(tblKasa[Tarih],ROW($A799)-ROW(tblKasa[[#Headers],[Tarih]])+1))-$A799,RaporTarihi-$A799))</f>
        <v/>
      </c>
      <c r="E799" s="18" t="n">
        <f aca="false">IF($C799="",0,ROUND($C799*$D799,0))</f>
        <v>0</v>
      </c>
      <c r="F799" s="22"/>
    </row>
    <row r="800" customFormat="false" ht="15" hidden="false" customHeight="false" outlineLevel="0" collapsed="false">
      <c r="A800" s="21"/>
      <c r="B800" s="22"/>
      <c r="C800" s="23"/>
      <c r="D800" s="19" t="str">
        <f aca="false">IF($A800="","",IFERROR(IF(INDEX(tblKasa[Tarih],ROW($A800)-ROW(tblKasa[[#Headers],[Tarih]])+1)=0,RaporTarihi,INDEX(tblKasa[Tarih],ROW($A800)-ROW(tblKasa[[#Headers],[Tarih]])+1))-$A800,RaporTarihi-$A800))</f>
        <v/>
      </c>
      <c r="E800" s="18" t="n">
        <f aca="false">IF($C800="",0,ROUND($C800*$D800,0))</f>
        <v>0</v>
      </c>
      <c r="F800" s="22"/>
    </row>
    <row r="801" customFormat="false" ht="15" hidden="false" customHeight="false" outlineLevel="0" collapsed="false">
      <c r="A801" s="21"/>
      <c r="B801" s="22"/>
      <c r="C801" s="23"/>
      <c r="D801" s="19" t="str">
        <f aca="false">IF($A801="","",IFERROR(IF(INDEX(tblKasa[Tarih],ROW($A801)-ROW(tblKasa[[#Headers],[Tarih]])+1)=0,RaporTarihi,INDEX(tblKasa[Tarih],ROW($A801)-ROW(tblKasa[[#Headers],[Tarih]])+1))-$A801,RaporTarihi-$A801))</f>
        <v/>
      </c>
      <c r="E801" s="18" t="n">
        <f aca="false">IF($C801="",0,ROUND($C801*$D801,0))</f>
        <v>0</v>
      </c>
      <c r="F801" s="22"/>
    </row>
    <row r="802" customFormat="false" ht="15" hidden="false" customHeight="false" outlineLevel="0" collapsed="false">
      <c r="A802" s="21"/>
      <c r="B802" s="22"/>
      <c r="C802" s="23"/>
      <c r="D802" s="19" t="str">
        <f aca="false">IF($A802="","",IFERROR(IF(INDEX(tblKasa[Tarih],ROW($A802)-ROW(tblKasa[[#Headers],[Tarih]])+1)=0,RaporTarihi,INDEX(tblKasa[Tarih],ROW($A802)-ROW(tblKasa[[#Headers],[Tarih]])+1))-$A802,RaporTarihi-$A802))</f>
        <v/>
      </c>
      <c r="E802" s="18" t="n">
        <f aca="false">IF($C802="",0,ROUND($C802*$D802,0))</f>
        <v>0</v>
      </c>
      <c r="F802" s="22"/>
    </row>
    <row r="803" customFormat="false" ht="15" hidden="false" customHeight="false" outlineLevel="0" collapsed="false">
      <c r="A803" s="21"/>
      <c r="B803" s="22"/>
      <c r="C803" s="23"/>
      <c r="D803" s="19" t="str">
        <f aca="false">IF($A803="","",IFERROR(IF(INDEX(tblKasa[Tarih],ROW($A803)-ROW(tblKasa[[#Headers],[Tarih]])+1)=0,RaporTarihi,INDEX(tblKasa[Tarih],ROW($A803)-ROW(tblKasa[[#Headers],[Tarih]])+1))-$A803,RaporTarihi-$A803))</f>
        <v/>
      </c>
      <c r="E803" s="18" t="n">
        <f aca="false">IF($C803="",0,ROUND($C803*$D803,0))</f>
        <v>0</v>
      </c>
      <c r="F803" s="22"/>
    </row>
    <row r="804" customFormat="false" ht="15" hidden="false" customHeight="false" outlineLevel="0" collapsed="false">
      <c r="A804" s="21"/>
      <c r="B804" s="22"/>
      <c r="C804" s="23"/>
      <c r="D804" s="19" t="str">
        <f aca="false">IF($A804="","",IFERROR(IF(INDEX(tblKasa[Tarih],ROW($A804)-ROW(tblKasa[[#Headers],[Tarih]])+1)=0,RaporTarihi,INDEX(tblKasa[Tarih],ROW($A804)-ROW(tblKasa[[#Headers],[Tarih]])+1))-$A804,RaporTarihi-$A804))</f>
        <v/>
      </c>
      <c r="E804" s="18" t="n">
        <f aca="false">IF($C804="",0,ROUND($C804*$D804,0))</f>
        <v>0</v>
      </c>
      <c r="F804" s="22"/>
    </row>
    <row r="805" customFormat="false" ht="15" hidden="false" customHeight="false" outlineLevel="0" collapsed="false">
      <c r="A805" s="21"/>
      <c r="B805" s="22"/>
      <c r="C805" s="23"/>
      <c r="D805" s="19" t="str">
        <f aca="false">IF($A805="","",IFERROR(IF(INDEX(tblKasa[Tarih],ROW($A805)-ROW(tblKasa[[#Headers],[Tarih]])+1)=0,RaporTarihi,INDEX(tblKasa[Tarih],ROW($A805)-ROW(tblKasa[[#Headers],[Tarih]])+1))-$A805,RaporTarihi-$A805))</f>
        <v/>
      </c>
      <c r="E805" s="18" t="n">
        <f aca="false">IF($C805="",0,ROUND($C805*$D805,0))</f>
        <v>0</v>
      </c>
      <c r="F805" s="22"/>
    </row>
    <row r="806" customFormat="false" ht="15" hidden="false" customHeight="false" outlineLevel="0" collapsed="false">
      <c r="A806" s="21"/>
      <c r="B806" s="22"/>
      <c r="C806" s="23"/>
      <c r="D806" s="19" t="str">
        <f aca="false">IF($A806="","",IFERROR(IF(INDEX(tblKasa[Tarih],ROW($A806)-ROW(tblKasa[[#Headers],[Tarih]])+1)=0,RaporTarihi,INDEX(tblKasa[Tarih],ROW($A806)-ROW(tblKasa[[#Headers],[Tarih]])+1))-$A806,RaporTarihi-$A806))</f>
        <v/>
      </c>
      <c r="E806" s="18" t="n">
        <f aca="false">IF($C806="",0,ROUND($C806*$D806,0))</f>
        <v>0</v>
      </c>
      <c r="F806" s="22"/>
    </row>
    <row r="807" customFormat="false" ht="15" hidden="false" customHeight="false" outlineLevel="0" collapsed="false">
      <c r="A807" s="21"/>
      <c r="B807" s="22"/>
      <c r="C807" s="23"/>
      <c r="D807" s="19" t="str">
        <f aca="false">IF($A807="","",IFERROR(IF(INDEX(tblKasa[Tarih],ROW($A807)-ROW(tblKasa[[#Headers],[Tarih]])+1)=0,RaporTarihi,INDEX(tblKasa[Tarih],ROW($A807)-ROW(tblKasa[[#Headers],[Tarih]])+1))-$A807,RaporTarihi-$A807))</f>
        <v/>
      </c>
      <c r="E807" s="18" t="n">
        <f aca="false">IF($C807="",0,ROUND($C807*$D807,0))</f>
        <v>0</v>
      </c>
      <c r="F807" s="22"/>
    </row>
    <row r="808" customFormat="false" ht="15" hidden="false" customHeight="false" outlineLevel="0" collapsed="false">
      <c r="A808" s="21"/>
      <c r="B808" s="22"/>
      <c r="C808" s="23"/>
      <c r="D808" s="19" t="str">
        <f aca="false">IF($A808="","",IFERROR(IF(INDEX(tblKasa[Tarih],ROW($A808)-ROW(tblKasa[[#Headers],[Tarih]])+1)=0,RaporTarihi,INDEX(tblKasa[Tarih],ROW($A808)-ROW(tblKasa[[#Headers],[Tarih]])+1))-$A808,RaporTarihi-$A808))</f>
        <v/>
      </c>
      <c r="E808" s="18" t="n">
        <f aca="false">IF($C808="",0,ROUND($C808*$D808,0))</f>
        <v>0</v>
      </c>
      <c r="F808" s="22"/>
    </row>
    <row r="809" customFormat="false" ht="15" hidden="false" customHeight="false" outlineLevel="0" collapsed="false">
      <c r="A809" s="21"/>
      <c r="B809" s="22"/>
      <c r="C809" s="23"/>
      <c r="D809" s="19" t="str">
        <f aca="false">IF($A809="","",IFERROR(IF(INDEX(tblKasa[Tarih],ROW($A809)-ROW(tblKasa[[#Headers],[Tarih]])+1)=0,RaporTarihi,INDEX(tblKasa[Tarih],ROW($A809)-ROW(tblKasa[[#Headers],[Tarih]])+1))-$A809,RaporTarihi-$A809))</f>
        <v/>
      </c>
      <c r="E809" s="18" t="n">
        <f aca="false">IF($C809="",0,ROUND($C809*$D809,0))</f>
        <v>0</v>
      </c>
      <c r="F809" s="22"/>
    </row>
    <row r="810" customFormat="false" ht="15" hidden="false" customHeight="false" outlineLevel="0" collapsed="false">
      <c r="A810" s="21"/>
      <c r="B810" s="22"/>
      <c r="C810" s="23"/>
      <c r="D810" s="19" t="str">
        <f aca="false">IF($A810="","",IFERROR(IF(INDEX(tblKasa[Tarih],ROW($A810)-ROW(tblKasa[[#Headers],[Tarih]])+1)=0,RaporTarihi,INDEX(tblKasa[Tarih],ROW($A810)-ROW(tblKasa[[#Headers],[Tarih]])+1))-$A810,RaporTarihi-$A810))</f>
        <v/>
      </c>
      <c r="E810" s="18" t="n">
        <f aca="false">IF($C810="",0,ROUND($C810*$D810,0))</f>
        <v>0</v>
      </c>
      <c r="F810" s="22"/>
    </row>
    <row r="811" customFormat="false" ht="15" hidden="false" customHeight="false" outlineLevel="0" collapsed="false">
      <c r="A811" s="21"/>
      <c r="B811" s="22"/>
      <c r="C811" s="23"/>
      <c r="D811" s="19" t="str">
        <f aca="false">IF($A811="","",IFERROR(IF(INDEX(tblKasa[Tarih],ROW($A811)-ROW(tblKasa[[#Headers],[Tarih]])+1)=0,RaporTarihi,INDEX(tblKasa[Tarih],ROW($A811)-ROW(tblKasa[[#Headers],[Tarih]])+1))-$A811,RaporTarihi-$A811))</f>
        <v/>
      </c>
      <c r="E811" s="18" t="n">
        <f aca="false">IF($C811="",0,ROUND($C811*$D811,0))</f>
        <v>0</v>
      </c>
      <c r="F811" s="22"/>
    </row>
    <row r="812" customFormat="false" ht="15" hidden="false" customHeight="false" outlineLevel="0" collapsed="false">
      <c r="A812" s="21"/>
      <c r="B812" s="22"/>
      <c r="C812" s="23"/>
      <c r="D812" s="19" t="str">
        <f aca="false">IF($A812="","",IFERROR(IF(INDEX(tblKasa[Tarih],ROW($A812)-ROW(tblKasa[[#Headers],[Tarih]])+1)=0,RaporTarihi,INDEX(tblKasa[Tarih],ROW($A812)-ROW(tblKasa[[#Headers],[Tarih]])+1))-$A812,RaporTarihi-$A812))</f>
        <v/>
      </c>
      <c r="E812" s="18" t="n">
        <f aca="false">IF($C812="",0,ROUND($C812*$D812,0))</f>
        <v>0</v>
      </c>
      <c r="F812" s="22"/>
    </row>
    <row r="813" customFormat="false" ht="15" hidden="false" customHeight="false" outlineLevel="0" collapsed="false">
      <c r="A813" s="21"/>
      <c r="B813" s="22"/>
      <c r="C813" s="23"/>
      <c r="D813" s="19" t="str">
        <f aca="false">IF($A813="","",IFERROR(IF(INDEX(tblKasa[Tarih],ROW($A813)-ROW(tblKasa[[#Headers],[Tarih]])+1)=0,RaporTarihi,INDEX(tblKasa[Tarih],ROW($A813)-ROW(tblKasa[[#Headers],[Tarih]])+1))-$A813,RaporTarihi-$A813))</f>
        <v/>
      </c>
      <c r="E813" s="18" t="n">
        <f aca="false">IF($C813="",0,ROUND($C813*$D813,0))</f>
        <v>0</v>
      </c>
      <c r="F813" s="22"/>
    </row>
    <row r="814" customFormat="false" ht="15" hidden="false" customHeight="false" outlineLevel="0" collapsed="false">
      <c r="A814" s="21"/>
      <c r="B814" s="22"/>
      <c r="C814" s="23"/>
      <c r="D814" s="19" t="str">
        <f aca="false">IF($A814="","",IFERROR(IF(INDEX(tblKasa[Tarih],ROW($A814)-ROW(tblKasa[[#Headers],[Tarih]])+1)=0,RaporTarihi,INDEX(tblKasa[Tarih],ROW($A814)-ROW(tblKasa[[#Headers],[Tarih]])+1))-$A814,RaporTarihi-$A814))</f>
        <v/>
      </c>
      <c r="E814" s="18" t="n">
        <f aca="false">IF($C814="",0,ROUND($C814*$D814,0))</f>
        <v>0</v>
      </c>
      <c r="F814" s="22"/>
    </row>
    <row r="815" customFormat="false" ht="15" hidden="false" customHeight="false" outlineLevel="0" collapsed="false">
      <c r="A815" s="21"/>
      <c r="B815" s="22"/>
      <c r="C815" s="23"/>
      <c r="D815" s="19" t="str">
        <f aca="false">IF($A815="","",IFERROR(IF(INDEX(tblKasa[Tarih],ROW($A815)-ROW(tblKasa[[#Headers],[Tarih]])+1)=0,RaporTarihi,INDEX(tblKasa[Tarih],ROW($A815)-ROW(tblKasa[[#Headers],[Tarih]])+1))-$A815,RaporTarihi-$A815))</f>
        <v/>
      </c>
      <c r="E815" s="18" t="n">
        <f aca="false">IF($C815="",0,ROUND($C815*$D815,0))</f>
        <v>0</v>
      </c>
      <c r="F815" s="22"/>
    </row>
    <row r="816" customFormat="false" ht="15" hidden="false" customHeight="false" outlineLevel="0" collapsed="false">
      <c r="A816" s="21"/>
      <c r="B816" s="22"/>
      <c r="C816" s="23"/>
      <c r="D816" s="19" t="str">
        <f aca="false">IF($A816="","",IFERROR(IF(INDEX(tblKasa[Tarih],ROW($A816)-ROW(tblKasa[[#Headers],[Tarih]])+1)=0,RaporTarihi,INDEX(tblKasa[Tarih],ROW($A816)-ROW(tblKasa[[#Headers],[Tarih]])+1))-$A816,RaporTarihi-$A816))</f>
        <v/>
      </c>
      <c r="E816" s="18" t="n">
        <f aca="false">IF($C816="",0,ROUND($C816*$D816,0))</f>
        <v>0</v>
      </c>
      <c r="F816" s="22"/>
    </row>
    <row r="817" customFormat="false" ht="15" hidden="false" customHeight="false" outlineLevel="0" collapsed="false">
      <c r="A817" s="21"/>
      <c r="B817" s="22"/>
      <c r="C817" s="23"/>
      <c r="D817" s="19" t="str">
        <f aca="false">IF($A817="","",IFERROR(IF(INDEX(tblKasa[Tarih],ROW($A817)-ROW(tblKasa[[#Headers],[Tarih]])+1)=0,RaporTarihi,INDEX(tblKasa[Tarih],ROW($A817)-ROW(tblKasa[[#Headers],[Tarih]])+1))-$A817,RaporTarihi-$A817))</f>
        <v/>
      </c>
      <c r="E817" s="18" t="n">
        <f aca="false">IF($C817="",0,ROUND($C817*$D817,0))</f>
        <v>0</v>
      </c>
      <c r="F817" s="22"/>
    </row>
    <row r="818" customFormat="false" ht="15" hidden="false" customHeight="false" outlineLevel="0" collapsed="false">
      <c r="A818" s="21"/>
      <c r="B818" s="22"/>
      <c r="C818" s="23"/>
      <c r="D818" s="19" t="str">
        <f aca="false">IF($A818="","",IFERROR(IF(INDEX(tblKasa[Tarih],ROW($A818)-ROW(tblKasa[[#Headers],[Tarih]])+1)=0,RaporTarihi,INDEX(tblKasa[Tarih],ROW($A818)-ROW(tblKasa[[#Headers],[Tarih]])+1))-$A818,RaporTarihi-$A818))</f>
        <v/>
      </c>
      <c r="E818" s="18" t="n">
        <f aca="false">IF($C818="",0,ROUND($C818*$D818,0))</f>
        <v>0</v>
      </c>
      <c r="F818" s="22"/>
    </row>
    <row r="819" customFormat="false" ht="15" hidden="false" customHeight="false" outlineLevel="0" collapsed="false">
      <c r="A819" s="21"/>
      <c r="B819" s="22"/>
      <c r="C819" s="23"/>
      <c r="D819" s="19" t="str">
        <f aca="false">IF($A819="","",IFERROR(IF(INDEX(tblKasa[Tarih],ROW($A819)-ROW(tblKasa[[#Headers],[Tarih]])+1)=0,RaporTarihi,INDEX(tblKasa[Tarih],ROW($A819)-ROW(tblKasa[[#Headers],[Tarih]])+1))-$A819,RaporTarihi-$A819))</f>
        <v/>
      </c>
      <c r="E819" s="18" t="n">
        <f aca="false">IF($C819="",0,ROUND($C819*$D819,0))</f>
        <v>0</v>
      </c>
      <c r="F819" s="22"/>
    </row>
    <row r="820" customFormat="false" ht="15" hidden="false" customHeight="false" outlineLevel="0" collapsed="false">
      <c r="A820" s="21"/>
      <c r="B820" s="22"/>
      <c r="C820" s="23"/>
      <c r="D820" s="19" t="str">
        <f aca="false">IF($A820="","",IFERROR(IF(INDEX(tblKasa[Tarih],ROW($A820)-ROW(tblKasa[[#Headers],[Tarih]])+1)=0,RaporTarihi,INDEX(tblKasa[Tarih],ROW($A820)-ROW(tblKasa[[#Headers],[Tarih]])+1))-$A820,RaporTarihi-$A820))</f>
        <v/>
      </c>
      <c r="E820" s="18" t="n">
        <f aca="false">IF($C820="",0,ROUND($C820*$D820,0))</f>
        <v>0</v>
      </c>
      <c r="F820" s="22"/>
    </row>
    <row r="821" customFormat="false" ht="15" hidden="false" customHeight="false" outlineLevel="0" collapsed="false">
      <c r="A821" s="21"/>
      <c r="B821" s="22"/>
      <c r="C821" s="23"/>
      <c r="D821" s="19" t="str">
        <f aca="false">IF($A821="","",IFERROR(IF(INDEX(tblKasa[Tarih],ROW($A821)-ROW(tblKasa[[#Headers],[Tarih]])+1)=0,RaporTarihi,INDEX(tblKasa[Tarih],ROW($A821)-ROW(tblKasa[[#Headers],[Tarih]])+1))-$A821,RaporTarihi-$A821))</f>
        <v/>
      </c>
      <c r="E821" s="18" t="n">
        <f aca="false">IF($C821="",0,ROUND($C821*$D821,0))</f>
        <v>0</v>
      </c>
      <c r="F821" s="22"/>
    </row>
    <row r="822" customFormat="false" ht="15" hidden="false" customHeight="false" outlineLevel="0" collapsed="false">
      <c r="A822" s="21"/>
      <c r="B822" s="22"/>
      <c r="C822" s="23"/>
      <c r="D822" s="19" t="str">
        <f aca="false">IF($A822="","",IFERROR(IF(INDEX(tblKasa[Tarih],ROW($A822)-ROW(tblKasa[[#Headers],[Tarih]])+1)=0,RaporTarihi,INDEX(tblKasa[Tarih],ROW($A822)-ROW(tblKasa[[#Headers],[Tarih]])+1))-$A822,RaporTarihi-$A822))</f>
        <v/>
      </c>
      <c r="E822" s="18" t="n">
        <f aca="false">IF($C822="",0,ROUND($C822*$D822,0))</f>
        <v>0</v>
      </c>
      <c r="F822" s="22"/>
    </row>
    <row r="823" customFormat="false" ht="15" hidden="false" customHeight="false" outlineLevel="0" collapsed="false">
      <c r="A823" s="21"/>
      <c r="B823" s="22"/>
      <c r="C823" s="23"/>
      <c r="D823" s="19" t="str">
        <f aca="false">IF($A823="","",IFERROR(IF(INDEX(tblKasa[Tarih],ROW($A823)-ROW(tblKasa[[#Headers],[Tarih]])+1)=0,RaporTarihi,INDEX(tblKasa[Tarih],ROW($A823)-ROW(tblKasa[[#Headers],[Tarih]])+1))-$A823,RaporTarihi-$A823))</f>
        <v/>
      </c>
      <c r="E823" s="18" t="n">
        <f aca="false">IF($C823="",0,ROUND($C823*$D823,0))</f>
        <v>0</v>
      </c>
      <c r="F823" s="22"/>
    </row>
    <row r="824" customFormat="false" ht="15" hidden="false" customHeight="false" outlineLevel="0" collapsed="false">
      <c r="A824" s="21"/>
      <c r="B824" s="22"/>
      <c r="C824" s="23"/>
      <c r="D824" s="19" t="str">
        <f aca="false">IF($A824="","",IFERROR(IF(INDEX(tblKasa[Tarih],ROW($A824)-ROW(tblKasa[[#Headers],[Tarih]])+1)=0,RaporTarihi,INDEX(tblKasa[Tarih],ROW($A824)-ROW(tblKasa[[#Headers],[Tarih]])+1))-$A824,RaporTarihi-$A824))</f>
        <v/>
      </c>
      <c r="E824" s="18" t="n">
        <f aca="false">IF($C824="",0,ROUND($C824*$D824,0))</f>
        <v>0</v>
      </c>
      <c r="F824" s="22"/>
    </row>
    <row r="825" customFormat="false" ht="15" hidden="false" customHeight="false" outlineLevel="0" collapsed="false">
      <c r="A825" s="21"/>
      <c r="B825" s="22"/>
      <c r="C825" s="23"/>
      <c r="D825" s="19" t="str">
        <f aca="false">IF($A825="","",IFERROR(IF(INDEX(tblKasa[Tarih],ROW($A825)-ROW(tblKasa[[#Headers],[Tarih]])+1)=0,RaporTarihi,INDEX(tblKasa[Tarih],ROW($A825)-ROW(tblKasa[[#Headers],[Tarih]])+1))-$A825,RaporTarihi-$A825))</f>
        <v/>
      </c>
      <c r="E825" s="18" t="n">
        <f aca="false">IF($C825="",0,ROUND($C825*$D825,0))</f>
        <v>0</v>
      </c>
      <c r="F825" s="22"/>
    </row>
    <row r="826" customFormat="false" ht="15" hidden="false" customHeight="false" outlineLevel="0" collapsed="false">
      <c r="A826" s="21"/>
      <c r="B826" s="22"/>
      <c r="C826" s="23"/>
      <c r="D826" s="19" t="str">
        <f aca="false">IF($A826="","",IFERROR(IF(INDEX(tblKasa[Tarih],ROW($A826)-ROW(tblKasa[[#Headers],[Tarih]])+1)=0,RaporTarihi,INDEX(tblKasa[Tarih],ROW($A826)-ROW(tblKasa[[#Headers],[Tarih]])+1))-$A826,RaporTarihi-$A826))</f>
        <v/>
      </c>
      <c r="E826" s="18" t="n">
        <f aca="false">IF($C826="",0,ROUND($C826*$D826,0))</f>
        <v>0</v>
      </c>
      <c r="F826" s="22"/>
    </row>
    <row r="827" customFormat="false" ht="15" hidden="false" customHeight="false" outlineLevel="0" collapsed="false">
      <c r="A827" s="21"/>
      <c r="B827" s="22"/>
      <c r="C827" s="23"/>
      <c r="D827" s="19" t="str">
        <f aca="false">IF($A827="","",IFERROR(IF(INDEX(tblKasa[Tarih],ROW($A827)-ROW(tblKasa[[#Headers],[Tarih]])+1)=0,RaporTarihi,INDEX(tblKasa[Tarih],ROW($A827)-ROW(tblKasa[[#Headers],[Tarih]])+1))-$A827,RaporTarihi-$A827))</f>
        <v/>
      </c>
      <c r="E827" s="18" t="n">
        <f aca="false">IF($C827="",0,ROUND($C827*$D827,0))</f>
        <v>0</v>
      </c>
      <c r="F827" s="22"/>
    </row>
    <row r="828" customFormat="false" ht="15" hidden="false" customHeight="false" outlineLevel="0" collapsed="false">
      <c r="A828" s="21"/>
      <c r="B828" s="22"/>
      <c r="C828" s="23"/>
      <c r="D828" s="19" t="str">
        <f aca="false">IF($A828="","",IFERROR(IF(INDEX(tblKasa[Tarih],ROW($A828)-ROW(tblKasa[[#Headers],[Tarih]])+1)=0,RaporTarihi,INDEX(tblKasa[Tarih],ROW($A828)-ROW(tblKasa[[#Headers],[Tarih]])+1))-$A828,RaporTarihi-$A828))</f>
        <v/>
      </c>
      <c r="E828" s="18" t="n">
        <f aca="false">IF($C828="",0,ROUND($C828*$D828,0))</f>
        <v>0</v>
      </c>
      <c r="F828" s="22"/>
    </row>
    <row r="829" customFormat="false" ht="15" hidden="false" customHeight="false" outlineLevel="0" collapsed="false">
      <c r="A829" s="21"/>
      <c r="B829" s="22"/>
      <c r="C829" s="23"/>
      <c r="D829" s="19" t="str">
        <f aca="false">IF($A829="","",IFERROR(IF(INDEX(tblKasa[Tarih],ROW($A829)-ROW(tblKasa[[#Headers],[Tarih]])+1)=0,RaporTarihi,INDEX(tblKasa[Tarih],ROW($A829)-ROW(tblKasa[[#Headers],[Tarih]])+1))-$A829,RaporTarihi-$A829))</f>
        <v/>
      </c>
      <c r="E829" s="18" t="n">
        <f aca="false">IF($C829="",0,ROUND($C829*$D829,0))</f>
        <v>0</v>
      </c>
      <c r="F829" s="22"/>
    </row>
    <row r="830" customFormat="false" ht="15" hidden="false" customHeight="false" outlineLevel="0" collapsed="false">
      <c r="A830" s="21"/>
      <c r="B830" s="22"/>
      <c r="C830" s="23"/>
      <c r="D830" s="19" t="str">
        <f aca="false">IF($A830="","",IFERROR(IF(INDEX(tblKasa[Tarih],ROW($A830)-ROW(tblKasa[[#Headers],[Tarih]])+1)=0,RaporTarihi,INDEX(tblKasa[Tarih],ROW($A830)-ROW(tblKasa[[#Headers],[Tarih]])+1))-$A830,RaporTarihi-$A830))</f>
        <v/>
      </c>
      <c r="E830" s="18" t="n">
        <f aca="false">IF($C830="",0,ROUND($C830*$D830,0))</f>
        <v>0</v>
      </c>
      <c r="F830" s="22"/>
    </row>
    <row r="831" customFormat="false" ht="15" hidden="false" customHeight="false" outlineLevel="0" collapsed="false">
      <c r="A831" s="21"/>
      <c r="B831" s="22"/>
      <c r="C831" s="23"/>
      <c r="D831" s="19" t="str">
        <f aca="false">IF($A831="","",IFERROR(IF(INDEX(tblKasa[Tarih],ROW($A831)-ROW(tblKasa[[#Headers],[Tarih]])+1)=0,RaporTarihi,INDEX(tblKasa[Tarih],ROW($A831)-ROW(tblKasa[[#Headers],[Tarih]])+1))-$A831,RaporTarihi-$A831))</f>
        <v/>
      </c>
      <c r="E831" s="18" t="n">
        <f aca="false">IF($C831="",0,ROUND($C831*$D831,0))</f>
        <v>0</v>
      </c>
      <c r="F831" s="22"/>
    </row>
    <row r="832" customFormat="false" ht="15" hidden="false" customHeight="false" outlineLevel="0" collapsed="false">
      <c r="A832" s="21"/>
      <c r="B832" s="22"/>
      <c r="C832" s="23"/>
      <c r="D832" s="19" t="str">
        <f aca="false">IF($A832="","",IFERROR(IF(INDEX(tblKasa[Tarih],ROW($A832)-ROW(tblKasa[[#Headers],[Tarih]])+1)=0,RaporTarihi,INDEX(tblKasa[Tarih],ROW($A832)-ROW(tblKasa[[#Headers],[Tarih]])+1))-$A832,RaporTarihi-$A832))</f>
        <v/>
      </c>
      <c r="E832" s="18" t="n">
        <f aca="false">IF($C832="",0,ROUND($C832*$D832,0))</f>
        <v>0</v>
      </c>
      <c r="F832" s="22"/>
    </row>
    <row r="833" customFormat="false" ht="15" hidden="false" customHeight="false" outlineLevel="0" collapsed="false">
      <c r="A833" s="21"/>
      <c r="B833" s="22"/>
      <c r="C833" s="23"/>
      <c r="D833" s="19" t="str">
        <f aca="false">IF($A833="","",IFERROR(IF(INDEX(tblKasa[Tarih],ROW($A833)-ROW(tblKasa[[#Headers],[Tarih]])+1)=0,RaporTarihi,INDEX(tblKasa[Tarih],ROW($A833)-ROW(tblKasa[[#Headers],[Tarih]])+1))-$A833,RaporTarihi-$A833))</f>
        <v/>
      </c>
      <c r="E833" s="18" t="n">
        <f aca="false">IF($C833="",0,ROUND($C833*$D833,0))</f>
        <v>0</v>
      </c>
      <c r="F833" s="22"/>
    </row>
    <row r="834" customFormat="false" ht="15" hidden="false" customHeight="false" outlineLevel="0" collapsed="false">
      <c r="A834" s="21"/>
      <c r="B834" s="22"/>
      <c r="C834" s="23"/>
      <c r="D834" s="19" t="str">
        <f aca="false">IF($A834="","",IFERROR(IF(INDEX(tblKasa[Tarih],ROW($A834)-ROW(tblKasa[[#Headers],[Tarih]])+1)=0,RaporTarihi,INDEX(tblKasa[Tarih],ROW($A834)-ROW(tblKasa[[#Headers],[Tarih]])+1))-$A834,RaporTarihi-$A834))</f>
        <v/>
      </c>
      <c r="E834" s="18" t="n">
        <f aca="false">IF($C834="",0,ROUND($C834*$D834,0))</f>
        <v>0</v>
      </c>
      <c r="F834" s="22"/>
    </row>
    <row r="835" customFormat="false" ht="15" hidden="false" customHeight="false" outlineLevel="0" collapsed="false">
      <c r="A835" s="21"/>
      <c r="B835" s="22"/>
      <c r="C835" s="23"/>
      <c r="D835" s="19" t="str">
        <f aca="false">IF($A835="","",IFERROR(IF(INDEX(tblKasa[Tarih],ROW($A835)-ROW(tblKasa[[#Headers],[Tarih]])+1)=0,RaporTarihi,INDEX(tblKasa[Tarih],ROW($A835)-ROW(tblKasa[[#Headers],[Tarih]])+1))-$A835,RaporTarihi-$A835))</f>
        <v/>
      </c>
      <c r="E835" s="18" t="n">
        <f aca="false">IF($C835="",0,ROUND($C835*$D835,0))</f>
        <v>0</v>
      </c>
      <c r="F835" s="22"/>
    </row>
    <row r="836" customFormat="false" ht="15" hidden="false" customHeight="false" outlineLevel="0" collapsed="false">
      <c r="A836" s="21"/>
      <c r="B836" s="22"/>
      <c r="C836" s="23"/>
      <c r="D836" s="19" t="str">
        <f aca="false">IF($A836="","",IFERROR(IF(INDEX(tblKasa[Tarih],ROW($A836)-ROW(tblKasa[[#Headers],[Tarih]])+1)=0,RaporTarihi,INDEX(tblKasa[Tarih],ROW($A836)-ROW(tblKasa[[#Headers],[Tarih]])+1))-$A836,RaporTarihi-$A836))</f>
        <v/>
      </c>
      <c r="E836" s="18" t="n">
        <f aca="false">IF($C836="",0,ROUND($C836*$D836,0))</f>
        <v>0</v>
      </c>
      <c r="F836" s="22"/>
    </row>
    <row r="837" customFormat="false" ht="15" hidden="false" customHeight="false" outlineLevel="0" collapsed="false">
      <c r="A837" s="21"/>
      <c r="B837" s="22"/>
      <c r="C837" s="23"/>
      <c r="D837" s="19" t="str">
        <f aca="false">IF($A837="","",IFERROR(IF(INDEX(tblKasa[Tarih],ROW($A837)-ROW(tblKasa[[#Headers],[Tarih]])+1)=0,RaporTarihi,INDEX(tblKasa[Tarih],ROW($A837)-ROW(tblKasa[[#Headers],[Tarih]])+1))-$A837,RaporTarihi-$A837))</f>
        <v/>
      </c>
      <c r="E837" s="18" t="n">
        <f aca="false">IF($C837="",0,ROUND($C837*$D837,0))</f>
        <v>0</v>
      </c>
      <c r="F837" s="22"/>
    </row>
    <row r="838" customFormat="false" ht="15" hidden="false" customHeight="false" outlineLevel="0" collapsed="false">
      <c r="A838" s="21"/>
      <c r="B838" s="22"/>
      <c r="C838" s="23"/>
      <c r="D838" s="19" t="str">
        <f aca="false">IF($A838="","",IFERROR(IF(INDEX(tblKasa[Tarih],ROW($A838)-ROW(tblKasa[[#Headers],[Tarih]])+1)=0,RaporTarihi,INDEX(tblKasa[Tarih],ROW($A838)-ROW(tblKasa[[#Headers],[Tarih]])+1))-$A838,RaporTarihi-$A838))</f>
        <v/>
      </c>
      <c r="E838" s="18" t="n">
        <f aca="false">IF($C838="",0,ROUND($C838*$D838,0))</f>
        <v>0</v>
      </c>
      <c r="F838" s="22"/>
    </row>
    <row r="839" customFormat="false" ht="15" hidden="false" customHeight="false" outlineLevel="0" collapsed="false">
      <c r="A839" s="21"/>
      <c r="B839" s="22"/>
      <c r="C839" s="23"/>
      <c r="D839" s="19" t="str">
        <f aca="false">IF($A839="","",IFERROR(IF(INDEX(tblKasa[Tarih],ROW($A839)-ROW(tblKasa[[#Headers],[Tarih]])+1)=0,RaporTarihi,INDEX(tblKasa[Tarih],ROW($A839)-ROW(tblKasa[[#Headers],[Tarih]])+1))-$A839,RaporTarihi-$A839))</f>
        <v/>
      </c>
      <c r="E839" s="18" t="n">
        <f aca="false">IF($C839="",0,ROUND($C839*$D839,0))</f>
        <v>0</v>
      </c>
      <c r="F839" s="22"/>
    </row>
    <row r="840" customFormat="false" ht="15" hidden="false" customHeight="false" outlineLevel="0" collapsed="false">
      <c r="A840" s="21"/>
      <c r="B840" s="22"/>
      <c r="C840" s="23"/>
      <c r="D840" s="19" t="str">
        <f aca="false">IF($A840="","",IFERROR(IF(INDEX(tblKasa[Tarih],ROW($A840)-ROW(tblKasa[[#Headers],[Tarih]])+1)=0,RaporTarihi,INDEX(tblKasa[Tarih],ROW($A840)-ROW(tblKasa[[#Headers],[Tarih]])+1))-$A840,RaporTarihi-$A840))</f>
        <v/>
      </c>
      <c r="E840" s="18" t="n">
        <f aca="false">IF($C840="",0,ROUND($C840*$D840,0))</f>
        <v>0</v>
      </c>
      <c r="F840" s="22"/>
    </row>
    <row r="841" customFormat="false" ht="15" hidden="false" customHeight="false" outlineLevel="0" collapsed="false">
      <c r="A841" s="21"/>
      <c r="B841" s="22"/>
      <c r="C841" s="23"/>
      <c r="D841" s="19" t="str">
        <f aca="false">IF($A841="","",IFERROR(IF(INDEX(tblKasa[Tarih],ROW($A841)-ROW(tblKasa[[#Headers],[Tarih]])+1)=0,RaporTarihi,INDEX(tblKasa[Tarih],ROW($A841)-ROW(tblKasa[[#Headers],[Tarih]])+1))-$A841,RaporTarihi-$A841))</f>
        <v/>
      </c>
      <c r="E841" s="18" t="n">
        <f aca="false">IF($C841="",0,ROUND($C841*$D841,0))</f>
        <v>0</v>
      </c>
      <c r="F841" s="22"/>
    </row>
    <row r="842" customFormat="false" ht="15" hidden="false" customHeight="false" outlineLevel="0" collapsed="false">
      <c r="A842" s="21"/>
      <c r="B842" s="22"/>
      <c r="C842" s="23"/>
      <c r="D842" s="19" t="str">
        <f aca="false">IF($A842="","",IFERROR(IF(INDEX(tblKasa[Tarih],ROW($A842)-ROW(tblKasa[[#Headers],[Tarih]])+1)=0,RaporTarihi,INDEX(tblKasa[Tarih],ROW($A842)-ROW(tblKasa[[#Headers],[Tarih]])+1))-$A842,RaporTarihi-$A842))</f>
        <v/>
      </c>
      <c r="E842" s="18" t="n">
        <f aca="false">IF($C842="",0,ROUND($C842*$D842,0))</f>
        <v>0</v>
      </c>
      <c r="F842" s="22"/>
    </row>
    <row r="843" customFormat="false" ht="15" hidden="false" customHeight="false" outlineLevel="0" collapsed="false">
      <c r="A843" s="21"/>
      <c r="B843" s="22"/>
      <c r="C843" s="23"/>
      <c r="D843" s="19" t="str">
        <f aca="false">IF($A843="","",IFERROR(IF(INDEX(tblKasa[Tarih],ROW($A843)-ROW(tblKasa[[#Headers],[Tarih]])+1)=0,RaporTarihi,INDEX(tblKasa[Tarih],ROW($A843)-ROW(tblKasa[[#Headers],[Tarih]])+1))-$A843,RaporTarihi-$A843))</f>
        <v/>
      </c>
      <c r="E843" s="18" t="n">
        <f aca="false">IF($C843="",0,ROUND($C843*$D843,0))</f>
        <v>0</v>
      </c>
      <c r="F843" s="22"/>
    </row>
    <row r="844" customFormat="false" ht="15" hidden="false" customHeight="false" outlineLevel="0" collapsed="false">
      <c r="A844" s="21"/>
      <c r="B844" s="22"/>
      <c r="C844" s="23"/>
      <c r="D844" s="19" t="str">
        <f aca="false">IF($A844="","",IFERROR(IF(INDEX(tblKasa[Tarih],ROW($A844)-ROW(tblKasa[[#Headers],[Tarih]])+1)=0,RaporTarihi,INDEX(tblKasa[Tarih],ROW($A844)-ROW(tblKasa[[#Headers],[Tarih]])+1))-$A844,RaporTarihi-$A844))</f>
        <v/>
      </c>
      <c r="E844" s="18" t="n">
        <f aca="false">IF($C844="",0,ROUND($C844*$D844,0))</f>
        <v>0</v>
      </c>
      <c r="F844" s="22"/>
    </row>
    <row r="845" customFormat="false" ht="15" hidden="false" customHeight="false" outlineLevel="0" collapsed="false">
      <c r="A845" s="21"/>
      <c r="B845" s="22"/>
      <c r="C845" s="23"/>
      <c r="D845" s="19" t="str">
        <f aca="false">IF($A845="","",IFERROR(IF(INDEX(tblKasa[Tarih],ROW($A845)-ROW(tblKasa[[#Headers],[Tarih]])+1)=0,RaporTarihi,INDEX(tblKasa[Tarih],ROW($A845)-ROW(tblKasa[[#Headers],[Tarih]])+1))-$A845,RaporTarihi-$A845))</f>
        <v/>
      </c>
      <c r="E845" s="18" t="n">
        <f aca="false">IF($C845="",0,ROUND($C845*$D845,0))</f>
        <v>0</v>
      </c>
      <c r="F845" s="22"/>
    </row>
    <row r="846" customFormat="false" ht="15" hidden="false" customHeight="false" outlineLevel="0" collapsed="false">
      <c r="A846" s="21"/>
      <c r="B846" s="22"/>
      <c r="C846" s="23"/>
      <c r="D846" s="19" t="str">
        <f aca="false">IF($A846="","",IFERROR(IF(INDEX(tblKasa[Tarih],ROW($A846)-ROW(tblKasa[[#Headers],[Tarih]])+1)=0,RaporTarihi,INDEX(tblKasa[Tarih],ROW($A846)-ROW(tblKasa[[#Headers],[Tarih]])+1))-$A846,RaporTarihi-$A846))</f>
        <v/>
      </c>
      <c r="E846" s="18" t="n">
        <f aca="false">IF($C846="",0,ROUND($C846*$D846,0))</f>
        <v>0</v>
      </c>
      <c r="F846" s="22"/>
    </row>
    <row r="847" customFormat="false" ht="15" hidden="false" customHeight="false" outlineLevel="0" collapsed="false">
      <c r="A847" s="21"/>
      <c r="B847" s="22"/>
      <c r="C847" s="23"/>
      <c r="D847" s="19" t="str">
        <f aca="false">IF($A847="","",IFERROR(IF(INDEX(tblKasa[Tarih],ROW($A847)-ROW(tblKasa[[#Headers],[Tarih]])+1)=0,RaporTarihi,INDEX(tblKasa[Tarih],ROW($A847)-ROW(tblKasa[[#Headers],[Tarih]])+1))-$A847,RaporTarihi-$A847))</f>
        <v/>
      </c>
      <c r="E847" s="18" t="n">
        <f aca="false">IF($C847="",0,ROUND($C847*$D847,0))</f>
        <v>0</v>
      </c>
      <c r="F847" s="22"/>
    </row>
    <row r="848" customFormat="false" ht="15" hidden="false" customHeight="false" outlineLevel="0" collapsed="false">
      <c r="A848" s="21"/>
      <c r="B848" s="22"/>
      <c r="C848" s="23"/>
      <c r="D848" s="19" t="str">
        <f aca="false">IF($A848="","",IFERROR(IF(INDEX(tblKasa[Tarih],ROW($A848)-ROW(tblKasa[[#Headers],[Tarih]])+1)=0,RaporTarihi,INDEX(tblKasa[Tarih],ROW($A848)-ROW(tblKasa[[#Headers],[Tarih]])+1))-$A848,RaporTarihi-$A848))</f>
        <v/>
      </c>
      <c r="E848" s="18" t="n">
        <f aca="false">IF($C848="",0,ROUND($C848*$D848,0))</f>
        <v>0</v>
      </c>
      <c r="F848" s="22"/>
    </row>
    <row r="849" customFormat="false" ht="15" hidden="false" customHeight="false" outlineLevel="0" collapsed="false">
      <c r="A849" s="21"/>
      <c r="B849" s="22"/>
      <c r="C849" s="23"/>
      <c r="D849" s="19" t="str">
        <f aca="false">IF($A849="","",IFERROR(IF(INDEX(tblKasa[Tarih],ROW($A849)-ROW(tblKasa[[#Headers],[Tarih]])+1)=0,RaporTarihi,INDEX(tblKasa[Tarih],ROW($A849)-ROW(tblKasa[[#Headers],[Tarih]])+1))-$A849,RaporTarihi-$A849))</f>
        <v/>
      </c>
      <c r="E849" s="18" t="n">
        <f aca="false">IF($C849="",0,ROUND($C849*$D849,0))</f>
        <v>0</v>
      </c>
      <c r="F849" s="22"/>
    </row>
    <row r="850" customFormat="false" ht="15" hidden="false" customHeight="false" outlineLevel="0" collapsed="false">
      <c r="A850" s="21"/>
      <c r="B850" s="22"/>
      <c r="C850" s="23"/>
      <c r="D850" s="19" t="str">
        <f aca="false">IF($A850="","",IFERROR(IF(INDEX(tblKasa[Tarih],ROW($A850)-ROW(tblKasa[[#Headers],[Tarih]])+1)=0,RaporTarihi,INDEX(tblKasa[Tarih],ROW($A850)-ROW(tblKasa[[#Headers],[Tarih]])+1))-$A850,RaporTarihi-$A850))</f>
        <v/>
      </c>
      <c r="E850" s="18" t="n">
        <f aca="false">IF($C850="",0,ROUND($C850*$D850,0))</f>
        <v>0</v>
      </c>
      <c r="F850" s="22"/>
    </row>
    <row r="851" customFormat="false" ht="15" hidden="false" customHeight="false" outlineLevel="0" collapsed="false">
      <c r="A851" s="21"/>
      <c r="B851" s="22"/>
      <c r="C851" s="23"/>
      <c r="D851" s="19" t="str">
        <f aca="false">IF($A851="","",IFERROR(IF(INDEX(tblKasa[Tarih],ROW($A851)-ROW(tblKasa[[#Headers],[Tarih]])+1)=0,RaporTarihi,INDEX(tblKasa[Tarih],ROW($A851)-ROW(tblKasa[[#Headers],[Tarih]])+1))-$A851,RaporTarihi-$A851))</f>
        <v/>
      </c>
      <c r="E851" s="18" t="n">
        <f aca="false">IF($C851="",0,ROUND($C851*$D851,0))</f>
        <v>0</v>
      </c>
      <c r="F851" s="22"/>
    </row>
    <row r="852" customFormat="false" ht="15" hidden="false" customHeight="false" outlineLevel="0" collapsed="false">
      <c r="A852" s="21"/>
      <c r="B852" s="22"/>
      <c r="C852" s="23"/>
      <c r="D852" s="19" t="str">
        <f aca="false">IF($A852="","",IFERROR(IF(INDEX(tblKasa[Tarih],ROW($A852)-ROW(tblKasa[[#Headers],[Tarih]])+1)=0,RaporTarihi,INDEX(tblKasa[Tarih],ROW($A852)-ROW(tblKasa[[#Headers],[Tarih]])+1))-$A852,RaporTarihi-$A852))</f>
        <v/>
      </c>
      <c r="E852" s="18" t="n">
        <f aca="false">IF($C852="",0,ROUND($C852*$D852,0))</f>
        <v>0</v>
      </c>
      <c r="F852" s="22"/>
    </row>
    <row r="853" customFormat="false" ht="15" hidden="false" customHeight="false" outlineLevel="0" collapsed="false">
      <c r="A853" s="21"/>
      <c r="B853" s="22"/>
      <c r="C853" s="23"/>
      <c r="D853" s="19" t="str">
        <f aca="false">IF($A853="","",IFERROR(IF(INDEX(tblKasa[Tarih],ROW($A853)-ROW(tblKasa[[#Headers],[Tarih]])+1)=0,RaporTarihi,INDEX(tblKasa[Tarih],ROW($A853)-ROW(tblKasa[[#Headers],[Tarih]])+1))-$A853,RaporTarihi-$A853))</f>
        <v/>
      </c>
      <c r="E853" s="18" t="n">
        <f aca="false">IF($C853="",0,ROUND($C853*$D853,0))</f>
        <v>0</v>
      </c>
      <c r="F853" s="22"/>
    </row>
    <row r="854" customFormat="false" ht="15" hidden="false" customHeight="false" outlineLevel="0" collapsed="false">
      <c r="A854" s="21"/>
      <c r="B854" s="22"/>
      <c r="C854" s="23"/>
      <c r="D854" s="19" t="str">
        <f aca="false">IF($A854="","",IFERROR(IF(INDEX(tblKasa[Tarih],ROW($A854)-ROW(tblKasa[[#Headers],[Tarih]])+1)=0,RaporTarihi,INDEX(tblKasa[Tarih],ROW($A854)-ROW(tblKasa[[#Headers],[Tarih]])+1))-$A854,RaporTarihi-$A854))</f>
        <v/>
      </c>
      <c r="E854" s="18" t="n">
        <f aca="false">IF($C854="",0,ROUND($C854*$D854,0))</f>
        <v>0</v>
      </c>
      <c r="F854" s="22"/>
    </row>
    <row r="855" customFormat="false" ht="15" hidden="false" customHeight="false" outlineLevel="0" collapsed="false">
      <c r="A855" s="21"/>
      <c r="B855" s="22"/>
      <c r="C855" s="23"/>
      <c r="D855" s="19" t="str">
        <f aca="false">IF($A855="","",IFERROR(IF(INDEX(tblKasa[Tarih],ROW($A855)-ROW(tblKasa[[#Headers],[Tarih]])+1)=0,RaporTarihi,INDEX(tblKasa[Tarih],ROW($A855)-ROW(tblKasa[[#Headers],[Tarih]])+1))-$A855,RaporTarihi-$A855))</f>
        <v/>
      </c>
      <c r="E855" s="18" t="n">
        <f aca="false">IF($C855="",0,ROUND($C855*$D855,0))</f>
        <v>0</v>
      </c>
      <c r="F855" s="22"/>
    </row>
    <row r="856" customFormat="false" ht="15" hidden="false" customHeight="false" outlineLevel="0" collapsed="false">
      <c r="A856" s="21"/>
      <c r="B856" s="22"/>
      <c r="C856" s="23"/>
      <c r="D856" s="19" t="str">
        <f aca="false">IF($A856="","",IFERROR(IF(INDEX(tblKasa[Tarih],ROW($A856)-ROW(tblKasa[[#Headers],[Tarih]])+1)=0,RaporTarihi,INDEX(tblKasa[Tarih],ROW($A856)-ROW(tblKasa[[#Headers],[Tarih]])+1))-$A856,RaporTarihi-$A856))</f>
        <v/>
      </c>
      <c r="E856" s="18" t="n">
        <f aca="false">IF($C856="",0,ROUND($C856*$D856,0))</f>
        <v>0</v>
      </c>
      <c r="F856" s="22"/>
    </row>
    <row r="857" customFormat="false" ht="15" hidden="false" customHeight="false" outlineLevel="0" collapsed="false">
      <c r="A857" s="21"/>
      <c r="B857" s="22"/>
      <c r="C857" s="23"/>
      <c r="D857" s="19" t="str">
        <f aca="false">IF($A857="","",IFERROR(IF(INDEX(tblKasa[Tarih],ROW($A857)-ROW(tblKasa[[#Headers],[Tarih]])+1)=0,RaporTarihi,INDEX(tblKasa[Tarih],ROW($A857)-ROW(tblKasa[[#Headers],[Tarih]])+1))-$A857,RaporTarihi-$A857))</f>
        <v/>
      </c>
      <c r="E857" s="18" t="n">
        <f aca="false">IF($C857="",0,ROUND($C857*$D857,0))</f>
        <v>0</v>
      </c>
      <c r="F857" s="22"/>
    </row>
    <row r="858" customFormat="false" ht="15" hidden="false" customHeight="false" outlineLevel="0" collapsed="false">
      <c r="A858" s="21"/>
      <c r="B858" s="22"/>
      <c r="C858" s="23"/>
      <c r="D858" s="19" t="str">
        <f aca="false">IF($A858="","",IFERROR(IF(INDEX(tblKasa[Tarih],ROW($A858)-ROW(tblKasa[[#Headers],[Tarih]])+1)=0,RaporTarihi,INDEX(tblKasa[Tarih],ROW($A858)-ROW(tblKasa[[#Headers],[Tarih]])+1))-$A858,RaporTarihi-$A858))</f>
        <v/>
      </c>
      <c r="E858" s="18" t="n">
        <f aca="false">IF($C858="",0,ROUND($C858*$D858,0))</f>
        <v>0</v>
      </c>
      <c r="F858" s="22"/>
    </row>
    <row r="859" customFormat="false" ht="15" hidden="false" customHeight="false" outlineLevel="0" collapsed="false">
      <c r="A859" s="21"/>
      <c r="B859" s="22"/>
      <c r="C859" s="23"/>
      <c r="D859" s="19" t="str">
        <f aca="false">IF($A859="","",IFERROR(IF(INDEX(tblKasa[Tarih],ROW($A859)-ROW(tblKasa[[#Headers],[Tarih]])+1)=0,RaporTarihi,INDEX(tblKasa[Tarih],ROW($A859)-ROW(tblKasa[[#Headers],[Tarih]])+1))-$A859,RaporTarihi-$A859))</f>
        <v/>
      </c>
      <c r="E859" s="18" t="n">
        <f aca="false">IF($C859="",0,ROUND($C859*$D859,0))</f>
        <v>0</v>
      </c>
      <c r="F859" s="22"/>
    </row>
    <row r="860" customFormat="false" ht="15" hidden="false" customHeight="false" outlineLevel="0" collapsed="false">
      <c r="A860" s="21"/>
      <c r="B860" s="22"/>
      <c r="C860" s="23"/>
      <c r="D860" s="19" t="str">
        <f aca="false">IF($A860="","",IFERROR(IF(INDEX(tblKasa[Tarih],ROW($A860)-ROW(tblKasa[[#Headers],[Tarih]])+1)=0,RaporTarihi,INDEX(tblKasa[Tarih],ROW($A860)-ROW(tblKasa[[#Headers],[Tarih]])+1))-$A860,RaporTarihi-$A860))</f>
        <v/>
      </c>
      <c r="E860" s="18" t="n">
        <f aca="false">IF($C860="",0,ROUND($C860*$D860,0))</f>
        <v>0</v>
      </c>
      <c r="F860" s="22"/>
    </row>
    <row r="861" customFormat="false" ht="15" hidden="false" customHeight="false" outlineLevel="0" collapsed="false">
      <c r="A861" s="21"/>
      <c r="B861" s="22"/>
      <c r="C861" s="23"/>
      <c r="D861" s="19" t="str">
        <f aca="false">IF($A861="","",IFERROR(IF(INDEX(tblKasa[Tarih],ROW($A861)-ROW(tblKasa[[#Headers],[Tarih]])+1)=0,RaporTarihi,INDEX(tblKasa[Tarih],ROW($A861)-ROW(tblKasa[[#Headers],[Tarih]])+1))-$A861,RaporTarihi-$A861))</f>
        <v/>
      </c>
      <c r="E861" s="18" t="n">
        <f aca="false">IF($C861="",0,ROUND($C861*$D861,0))</f>
        <v>0</v>
      </c>
      <c r="F861" s="22"/>
    </row>
    <row r="862" customFormat="false" ht="15" hidden="false" customHeight="false" outlineLevel="0" collapsed="false">
      <c r="A862" s="21"/>
      <c r="B862" s="22"/>
      <c r="C862" s="23"/>
      <c r="D862" s="19" t="str">
        <f aca="false">IF($A862="","",IFERROR(IF(INDEX(tblKasa[Tarih],ROW($A862)-ROW(tblKasa[[#Headers],[Tarih]])+1)=0,RaporTarihi,INDEX(tblKasa[Tarih],ROW($A862)-ROW(tblKasa[[#Headers],[Tarih]])+1))-$A862,RaporTarihi-$A862))</f>
        <v/>
      </c>
      <c r="E862" s="18" t="n">
        <f aca="false">IF($C862="",0,ROUND($C862*$D862,0))</f>
        <v>0</v>
      </c>
      <c r="F862" s="22"/>
    </row>
    <row r="863" customFormat="false" ht="15" hidden="false" customHeight="false" outlineLevel="0" collapsed="false">
      <c r="A863" s="21"/>
      <c r="B863" s="22"/>
      <c r="C863" s="23"/>
      <c r="D863" s="19" t="str">
        <f aca="false">IF($A863="","",IFERROR(IF(INDEX(tblKasa[Tarih],ROW($A863)-ROW(tblKasa[[#Headers],[Tarih]])+1)=0,RaporTarihi,INDEX(tblKasa[Tarih],ROW($A863)-ROW(tblKasa[[#Headers],[Tarih]])+1))-$A863,RaporTarihi-$A863))</f>
        <v/>
      </c>
      <c r="E863" s="18" t="n">
        <f aca="false">IF($C863="",0,ROUND($C863*$D863,0))</f>
        <v>0</v>
      </c>
      <c r="F863" s="22"/>
    </row>
    <row r="864" customFormat="false" ht="15" hidden="false" customHeight="false" outlineLevel="0" collapsed="false">
      <c r="A864" s="21"/>
      <c r="B864" s="22"/>
      <c r="C864" s="23"/>
      <c r="D864" s="19" t="str">
        <f aca="false">IF($A864="","",IFERROR(IF(INDEX(tblKasa[Tarih],ROW($A864)-ROW(tblKasa[[#Headers],[Tarih]])+1)=0,RaporTarihi,INDEX(tblKasa[Tarih],ROW($A864)-ROW(tblKasa[[#Headers],[Tarih]])+1))-$A864,RaporTarihi-$A864))</f>
        <v/>
      </c>
      <c r="E864" s="18" t="n">
        <f aca="false">IF($C864="",0,ROUND($C864*$D864,0))</f>
        <v>0</v>
      </c>
      <c r="F864" s="22"/>
    </row>
    <row r="865" customFormat="false" ht="15" hidden="false" customHeight="false" outlineLevel="0" collapsed="false">
      <c r="A865" s="21"/>
      <c r="B865" s="22"/>
      <c r="C865" s="23"/>
      <c r="D865" s="19" t="str">
        <f aca="false">IF($A865="","",IFERROR(IF(INDEX(tblKasa[Tarih],ROW($A865)-ROW(tblKasa[[#Headers],[Tarih]])+1)=0,RaporTarihi,INDEX(tblKasa[Tarih],ROW($A865)-ROW(tblKasa[[#Headers],[Tarih]])+1))-$A865,RaporTarihi-$A865))</f>
        <v/>
      </c>
      <c r="E865" s="18" t="n">
        <f aca="false">IF($C865="",0,ROUND($C865*$D865,0))</f>
        <v>0</v>
      </c>
      <c r="F865" s="22"/>
    </row>
    <row r="866" customFormat="false" ht="15" hidden="false" customHeight="false" outlineLevel="0" collapsed="false">
      <c r="A866" s="21"/>
      <c r="B866" s="22"/>
      <c r="C866" s="23"/>
      <c r="D866" s="19" t="str">
        <f aca="false">IF($A866="","",IFERROR(IF(INDEX(tblKasa[Tarih],ROW($A866)-ROW(tblKasa[[#Headers],[Tarih]])+1)=0,RaporTarihi,INDEX(tblKasa[Tarih],ROW($A866)-ROW(tblKasa[[#Headers],[Tarih]])+1))-$A866,RaporTarihi-$A866))</f>
        <v/>
      </c>
      <c r="E866" s="18" t="n">
        <f aca="false">IF($C866="",0,ROUND($C866*$D866,0))</f>
        <v>0</v>
      </c>
      <c r="F866" s="22"/>
    </row>
    <row r="867" customFormat="false" ht="15" hidden="false" customHeight="false" outlineLevel="0" collapsed="false">
      <c r="A867" s="21"/>
      <c r="B867" s="22"/>
      <c r="C867" s="23"/>
      <c r="D867" s="19" t="str">
        <f aca="false">IF($A867="","",IFERROR(IF(INDEX(tblKasa[Tarih],ROW($A867)-ROW(tblKasa[[#Headers],[Tarih]])+1)=0,RaporTarihi,INDEX(tblKasa[Tarih],ROW($A867)-ROW(tblKasa[[#Headers],[Tarih]])+1))-$A867,RaporTarihi-$A867))</f>
        <v/>
      </c>
      <c r="E867" s="18" t="n">
        <f aca="false">IF($C867="",0,ROUND($C867*$D867,0))</f>
        <v>0</v>
      </c>
      <c r="F867" s="22"/>
    </row>
    <row r="868" customFormat="false" ht="15" hidden="false" customHeight="false" outlineLevel="0" collapsed="false">
      <c r="A868" s="21"/>
      <c r="B868" s="22"/>
      <c r="C868" s="23"/>
      <c r="D868" s="19" t="str">
        <f aca="false">IF($A868="","",IFERROR(IF(INDEX(tblKasa[Tarih],ROW($A868)-ROW(tblKasa[[#Headers],[Tarih]])+1)=0,RaporTarihi,INDEX(tblKasa[Tarih],ROW($A868)-ROW(tblKasa[[#Headers],[Tarih]])+1))-$A868,RaporTarihi-$A868))</f>
        <v/>
      </c>
      <c r="E868" s="18" t="n">
        <f aca="false">IF($C868="",0,ROUND($C868*$D868,0))</f>
        <v>0</v>
      </c>
      <c r="F868" s="22"/>
    </row>
    <row r="869" customFormat="false" ht="15" hidden="false" customHeight="false" outlineLevel="0" collapsed="false">
      <c r="A869" s="21"/>
      <c r="B869" s="22"/>
      <c r="C869" s="23"/>
      <c r="D869" s="19" t="str">
        <f aca="false">IF($A869="","",IFERROR(IF(INDEX(tblKasa[Tarih],ROW($A869)-ROW(tblKasa[[#Headers],[Tarih]])+1)=0,RaporTarihi,INDEX(tblKasa[Tarih],ROW($A869)-ROW(tblKasa[[#Headers],[Tarih]])+1))-$A869,RaporTarihi-$A869))</f>
        <v/>
      </c>
      <c r="E869" s="18" t="n">
        <f aca="false">IF($C869="",0,ROUND($C869*$D869,0))</f>
        <v>0</v>
      </c>
      <c r="F869" s="22"/>
    </row>
    <row r="870" customFormat="false" ht="15" hidden="false" customHeight="false" outlineLevel="0" collapsed="false">
      <c r="A870" s="21"/>
      <c r="B870" s="22"/>
      <c r="C870" s="23"/>
      <c r="D870" s="19" t="str">
        <f aca="false">IF($A870="","",IFERROR(IF(INDEX(tblKasa[Tarih],ROW($A870)-ROW(tblKasa[[#Headers],[Tarih]])+1)=0,RaporTarihi,INDEX(tblKasa[Tarih],ROW($A870)-ROW(tblKasa[[#Headers],[Tarih]])+1))-$A870,RaporTarihi-$A870))</f>
        <v/>
      </c>
      <c r="E870" s="18" t="n">
        <f aca="false">IF($C870="",0,ROUND($C870*$D870,0))</f>
        <v>0</v>
      </c>
      <c r="F870" s="22"/>
    </row>
    <row r="871" customFormat="false" ht="15" hidden="false" customHeight="false" outlineLevel="0" collapsed="false">
      <c r="A871" s="21"/>
      <c r="B871" s="22"/>
      <c r="C871" s="23"/>
      <c r="D871" s="19" t="str">
        <f aca="false">IF($A871="","",IFERROR(IF(INDEX(tblKasa[Tarih],ROW($A871)-ROW(tblKasa[[#Headers],[Tarih]])+1)=0,RaporTarihi,INDEX(tblKasa[Tarih],ROW($A871)-ROW(tblKasa[[#Headers],[Tarih]])+1))-$A871,RaporTarihi-$A871))</f>
        <v/>
      </c>
      <c r="E871" s="18" t="n">
        <f aca="false">IF($C871="",0,ROUND($C871*$D871,0))</f>
        <v>0</v>
      </c>
      <c r="F871" s="22"/>
    </row>
    <row r="872" customFormat="false" ht="15" hidden="false" customHeight="false" outlineLevel="0" collapsed="false">
      <c r="A872" s="21"/>
      <c r="B872" s="22"/>
      <c r="C872" s="23"/>
      <c r="D872" s="19" t="str">
        <f aca="false">IF($A872="","",IFERROR(IF(INDEX(tblKasa[Tarih],ROW($A872)-ROW(tblKasa[[#Headers],[Tarih]])+1)=0,RaporTarihi,INDEX(tblKasa[Tarih],ROW($A872)-ROW(tblKasa[[#Headers],[Tarih]])+1))-$A872,RaporTarihi-$A872))</f>
        <v/>
      </c>
      <c r="E872" s="18" t="n">
        <f aca="false">IF($C872="",0,ROUND($C872*$D872,0))</f>
        <v>0</v>
      </c>
      <c r="F872" s="22"/>
    </row>
    <row r="873" customFormat="false" ht="15" hidden="false" customHeight="false" outlineLevel="0" collapsed="false">
      <c r="A873" s="21"/>
      <c r="B873" s="22"/>
      <c r="C873" s="23"/>
      <c r="D873" s="19" t="str">
        <f aca="false">IF($A873="","",IFERROR(IF(INDEX(tblKasa[Tarih],ROW($A873)-ROW(tblKasa[[#Headers],[Tarih]])+1)=0,RaporTarihi,INDEX(tblKasa[Tarih],ROW($A873)-ROW(tblKasa[[#Headers],[Tarih]])+1))-$A873,RaporTarihi-$A873))</f>
        <v/>
      </c>
      <c r="E873" s="18" t="n">
        <f aca="false">IF($C873="",0,ROUND($C873*$D873,0))</f>
        <v>0</v>
      </c>
      <c r="F873" s="22"/>
    </row>
    <row r="874" customFormat="false" ht="15" hidden="false" customHeight="false" outlineLevel="0" collapsed="false">
      <c r="A874" s="21"/>
      <c r="B874" s="22"/>
      <c r="C874" s="23"/>
      <c r="D874" s="19" t="str">
        <f aca="false">IF($A874="","",IFERROR(IF(INDEX(tblKasa[Tarih],ROW($A874)-ROW(tblKasa[[#Headers],[Tarih]])+1)=0,RaporTarihi,INDEX(tblKasa[Tarih],ROW($A874)-ROW(tblKasa[[#Headers],[Tarih]])+1))-$A874,RaporTarihi-$A874))</f>
        <v/>
      </c>
      <c r="E874" s="18" t="n">
        <f aca="false">IF($C874="",0,ROUND($C874*$D874,0))</f>
        <v>0</v>
      </c>
      <c r="F874" s="22"/>
    </row>
    <row r="875" customFormat="false" ht="15" hidden="false" customHeight="false" outlineLevel="0" collapsed="false">
      <c r="A875" s="21"/>
      <c r="B875" s="22"/>
      <c r="C875" s="23"/>
      <c r="D875" s="19" t="str">
        <f aca="false">IF($A875="","",IFERROR(IF(INDEX(tblKasa[Tarih],ROW($A875)-ROW(tblKasa[[#Headers],[Tarih]])+1)=0,RaporTarihi,INDEX(tblKasa[Tarih],ROW($A875)-ROW(tblKasa[[#Headers],[Tarih]])+1))-$A875,RaporTarihi-$A875))</f>
        <v/>
      </c>
      <c r="E875" s="18" t="n">
        <f aca="false">IF($C875="",0,ROUND($C875*$D875,0))</f>
        <v>0</v>
      </c>
      <c r="F875" s="22"/>
    </row>
    <row r="876" customFormat="false" ht="15" hidden="false" customHeight="false" outlineLevel="0" collapsed="false">
      <c r="A876" s="21"/>
      <c r="B876" s="22"/>
      <c r="C876" s="23"/>
      <c r="D876" s="19" t="str">
        <f aca="false">IF($A876="","",IFERROR(IF(INDEX(tblKasa[Tarih],ROW($A876)-ROW(tblKasa[[#Headers],[Tarih]])+1)=0,RaporTarihi,INDEX(tblKasa[Tarih],ROW($A876)-ROW(tblKasa[[#Headers],[Tarih]])+1))-$A876,RaporTarihi-$A876))</f>
        <v/>
      </c>
      <c r="E876" s="18" t="n">
        <f aca="false">IF($C876="",0,ROUND($C876*$D876,0))</f>
        <v>0</v>
      </c>
      <c r="F876" s="22"/>
    </row>
    <row r="877" customFormat="false" ht="15" hidden="false" customHeight="false" outlineLevel="0" collapsed="false">
      <c r="A877" s="21"/>
      <c r="B877" s="22"/>
      <c r="C877" s="23"/>
      <c r="D877" s="19" t="str">
        <f aca="false">IF($A877="","",IFERROR(IF(INDEX(tblKasa[Tarih],ROW($A877)-ROW(tblKasa[[#Headers],[Tarih]])+1)=0,RaporTarihi,INDEX(tblKasa[Tarih],ROW($A877)-ROW(tblKasa[[#Headers],[Tarih]])+1))-$A877,RaporTarihi-$A877))</f>
        <v/>
      </c>
      <c r="E877" s="18" t="n">
        <f aca="false">IF($C877="",0,ROUND($C877*$D877,0))</f>
        <v>0</v>
      </c>
      <c r="F877" s="22"/>
    </row>
    <row r="878" customFormat="false" ht="15" hidden="false" customHeight="false" outlineLevel="0" collapsed="false">
      <c r="A878" s="21"/>
      <c r="B878" s="22"/>
      <c r="C878" s="23"/>
      <c r="D878" s="19" t="str">
        <f aca="false">IF($A878="","",IFERROR(IF(INDEX(tblKasa[Tarih],ROW($A878)-ROW(tblKasa[[#Headers],[Tarih]])+1)=0,RaporTarihi,INDEX(tblKasa[Tarih],ROW($A878)-ROW(tblKasa[[#Headers],[Tarih]])+1))-$A878,RaporTarihi-$A878))</f>
        <v/>
      </c>
      <c r="E878" s="18" t="n">
        <f aca="false">IF($C878="",0,ROUND($C878*$D878,0))</f>
        <v>0</v>
      </c>
      <c r="F878" s="22"/>
    </row>
    <row r="879" customFormat="false" ht="15" hidden="false" customHeight="false" outlineLevel="0" collapsed="false">
      <c r="A879" s="21"/>
      <c r="B879" s="22"/>
      <c r="C879" s="23"/>
      <c r="D879" s="19" t="str">
        <f aca="false">IF($A879="","",IFERROR(IF(INDEX(tblKasa[Tarih],ROW($A879)-ROW(tblKasa[[#Headers],[Tarih]])+1)=0,RaporTarihi,INDEX(tblKasa[Tarih],ROW($A879)-ROW(tblKasa[[#Headers],[Tarih]])+1))-$A879,RaporTarihi-$A879))</f>
        <v/>
      </c>
      <c r="E879" s="18" t="n">
        <f aca="false">IF($C879="",0,ROUND($C879*$D879,0))</f>
        <v>0</v>
      </c>
      <c r="F879" s="22"/>
    </row>
    <row r="880" customFormat="false" ht="15" hidden="false" customHeight="false" outlineLevel="0" collapsed="false">
      <c r="A880" s="21"/>
      <c r="B880" s="22"/>
      <c r="C880" s="23"/>
      <c r="D880" s="19" t="str">
        <f aca="false">IF($A880="","",IFERROR(IF(INDEX(tblKasa[Tarih],ROW($A880)-ROW(tblKasa[[#Headers],[Tarih]])+1)=0,RaporTarihi,INDEX(tblKasa[Tarih],ROW($A880)-ROW(tblKasa[[#Headers],[Tarih]])+1))-$A880,RaporTarihi-$A880))</f>
        <v/>
      </c>
      <c r="E880" s="18" t="n">
        <f aca="false">IF($C880="",0,ROUND($C880*$D880,0))</f>
        <v>0</v>
      </c>
      <c r="F880" s="22"/>
    </row>
    <row r="881" customFormat="false" ht="15" hidden="false" customHeight="false" outlineLevel="0" collapsed="false">
      <c r="A881" s="21"/>
      <c r="B881" s="22"/>
      <c r="C881" s="23"/>
      <c r="D881" s="19" t="str">
        <f aca="false">IF($A881="","",IFERROR(IF(INDEX(tblKasa[Tarih],ROW($A881)-ROW(tblKasa[[#Headers],[Tarih]])+1)=0,RaporTarihi,INDEX(tblKasa[Tarih],ROW($A881)-ROW(tblKasa[[#Headers],[Tarih]])+1))-$A881,RaporTarihi-$A881))</f>
        <v/>
      </c>
      <c r="E881" s="18" t="n">
        <f aca="false">IF($C881="",0,ROUND($C881*$D881,0))</f>
        <v>0</v>
      </c>
      <c r="F881" s="22"/>
    </row>
    <row r="882" customFormat="false" ht="15" hidden="false" customHeight="false" outlineLevel="0" collapsed="false">
      <c r="A882" s="21"/>
      <c r="B882" s="22"/>
      <c r="C882" s="23"/>
      <c r="D882" s="19" t="str">
        <f aca="false">IF($A882="","",IFERROR(IF(INDEX(tblKasa[Tarih],ROW($A882)-ROW(tblKasa[[#Headers],[Tarih]])+1)=0,RaporTarihi,INDEX(tblKasa[Tarih],ROW($A882)-ROW(tblKasa[[#Headers],[Tarih]])+1))-$A882,RaporTarihi-$A882))</f>
        <v/>
      </c>
      <c r="E882" s="18" t="n">
        <f aca="false">IF($C882="",0,ROUND($C882*$D882,0))</f>
        <v>0</v>
      </c>
      <c r="F882" s="22"/>
    </row>
    <row r="883" customFormat="false" ht="15" hidden="false" customHeight="false" outlineLevel="0" collapsed="false">
      <c r="A883" s="21"/>
      <c r="B883" s="22"/>
      <c r="C883" s="23"/>
      <c r="D883" s="19" t="str">
        <f aca="false">IF($A883="","",IFERROR(IF(INDEX(tblKasa[Tarih],ROW($A883)-ROW(tblKasa[[#Headers],[Tarih]])+1)=0,RaporTarihi,INDEX(tblKasa[Tarih],ROW($A883)-ROW(tblKasa[[#Headers],[Tarih]])+1))-$A883,RaporTarihi-$A883))</f>
        <v/>
      </c>
      <c r="E883" s="18" t="n">
        <f aca="false">IF($C883="",0,ROUND($C883*$D883,0))</f>
        <v>0</v>
      </c>
      <c r="F883" s="22"/>
    </row>
    <row r="884" customFormat="false" ht="15" hidden="false" customHeight="false" outlineLevel="0" collapsed="false">
      <c r="A884" s="21"/>
      <c r="B884" s="22"/>
      <c r="C884" s="23"/>
      <c r="D884" s="19" t="str">
        <f aca="false">IF($A884="","",IFERROR(IF(INDEX(tblKasa[Tarih],ROW($A884)-ROW(tblKasa[[#Headers],[Tarih]])+1)=0,RaporTarihi,INDEX(tblKasa[Tarih],ROW($A884)-ROW(tblKasa[[#Headers],[Tarih]])+1))-$A884,RaporTarihi-$A884))</f>
        <v/>
      </c>
      <c r="E884" s="18" t="n">
        <f aca="false">IF($C884="",0,ROUND($C884*$D884,0))</f>
        <v>0</v>
      </c>
      <c r="F884" s="22"/>
    </row>
    <row r="885" customFormat="false" ht="15" hidden="false" customHeight="false" outlineLevel="0" collapsed="false">
      <c r="A885" s="21"/>
      <c r="B885" s="22"/>
      <c r="C885" s="23"/>
      <c r="D885" s="19" t="str">
        <f aca="false">IF($A885="","",IFERROR(IF(INDEX(tblKasa[Tarih],ROW($A885)-ROW(tblKasa[[#Headers],[Tarih]])+1)=0,RaporTarihi,INDEX(tblKasa[Tarih],ROW($A885)-ROW(tblKasa[[#Headers],[Tarih]])+1))-$A885,RaporTarihi-$A885))</f>
        <v/>
      </c>
      <c r="E885" s="18" t="n">
        <f aca="false">IF($C885="",0,ROUND($C885*$D885,0))</f>
        <v>0</v>
      </c>
      <c r="F885" s="22"/>
    </row>
    <row r="886" customFormat="false" ht="15" hidden="false" customHeight="false" outlineLevel="0" collapsed="false">
      <c r="A886" s="21"/>
      <c r="B886" s="22"/>
      <c r="C886" s="23"/>
      <c r="D886" s="19" t="str">
        <f aca="false">IF($A886="","",IFERROR(IF(INDEX(tblKasa[Tarih],ROW($A886)-ROW(tblKasa[[#Headers],[Tarih]])+1)=0,RaporTarihi,INDEX(tblKasa[Tarih],ROW($A886)-ROW(tblKasa[[#Headers],[Tarih]])+1))-$A886,RaporTarihi-$A886))</f>
        <v/>
      </c>
      <c r="E886" s="18" t="n">
        <f aca="false">IF($C886="",0,ROUND($C886*$D886,0))</f>
        <v>0</v>
      </c>
      <c r="F886" s="22"/>
    </row>
    <row r="887" customFormat="false" ht="15" hidden="false" customHeight="false" outlineLevel="0" collapsed="false">
      <c r="A887" s="21"/>
      <c r="B887" s="22"/>
      <c r="C887" s="23"/>
      <c r="D887" s="19" t="str">
        <f aca="false">IF($A887="","",IFERROR(IF(INDEX(tblKasa[Tarih],ROW($A887)-ROW(tblKasa[[#Headers],[Tarih]])+1)=0,RaporTarihi,INDEX(tblKasa[Tarih],ROW($A887)-ROW(tblKasa[[#Headers],[Tarih]])+1))-$A887,RaporTarihi-$A887))</f>
        <v/>
      </c>
      <c r="E887" s="18" t="n">
        <f aca="false">IF($C887="",0,ROUND($C887*$D887,0))</f>
        <v>0</v>
      </c>
      <c r="F887" s="22"/>
    </row>
    <row r="888" customFormat="false" ht="15" hidden="false" customHeight="false" outlineLevel="0" collapsed="false">
      <c r="A888" s="21"/>
      <c r="B888" s="22"/>
      <c r="C888" s="23"/>
      <c r="D888" s="19" t="str">
        <f aca="false">IF($A888="","",IFERROR(IF(INDEX(tblKasa[Tarih],ROW($A888)-ROW(tblKasa[[#Headers],[Tarih]])+1)=0,RaporTarihi,INDEX(tblKasa[Tarih],ROW($A888)-ROW(tblKasa[[#Headers],[Tarih]])+1))-$A888,RaporTarihi-$A888))</f>
        <v/>
      </c>
      <c r="E888" s="18" t="n">
        <f aca="false">IF($C888="",0,ROUND($C888*$D888,0))</f>
        <v>0</v>
      </c>
      <c r="F888" s="22"/>
    </row>
    <row r="889" customFormat="false" ht="15" hidden="false" customHeight="false" outlineLevel="0" collapsed="false">
      <c r="A889" s="21"/>
      <c r="B889" s="22"/>
      <c r="C889" s="23"/>
      <c r="D889" s="19" t="str">
        <f aca="false">IF($A889="","",IFERROR(IF(INDEX(tblKasa[Tarih],ROW($A889)-ROW(tblKasa[[#Headers],[Tarih]])+1)=0,RaporTarihi,INDEX(tblKasa[Tarih],ROW($A889)-ROW(tblKasa[[#Headers],[Tarih]])+1))-$A889,RaporTarihi-$A889))</f>
        <v/>
      </c>
      <c r="E889" s="18" t="n">
        <f aca="false">IF($C889="",0,ROUND($C889*$D889,0))</f>
        <v>0</v>
      </c>
      <c r="F889" s="22"/>
    </row>
    <row r="890" customFormat="false" ht="15" hidden="false" customHeight="false" outlineLevel="0" collapsed="false">
      <c r="A890" s="21"/>
      <c r="B890" s="22"/>
      <c r="C890" s="23"/>
      <c r="D890" s="19" t="str">
        <f aca="false">IF($A890="","",IFERROR(IF(INDEX(tblKasa[Tarih],ROW($A890)-ROW(tblKasa[[#Headers],[Tarih]])+1)=0,RaporTarihi,INDEX(tblKasa[Tarih],ROW($A890)-ROW(tblKasa[[#Headers],[Tarih]])+1))-$A890,RaporTarihi-$A890))</f>
        <v/>
      </c>
      <c r="E890" s="18" t="n">
        <f aca="false">IF($C890="",0,ROUND($C890*$D890,0))</f>
        <v>0</v>
      </c>
      <c r="F890" s="22"/>
    </row>
    <row r="891" customFormat="false" ht="15" hidden="false" customHeight="false" outlineLevel="0" collapsed="false">
      <c r="A891" s="21"/>
      <c r="B891" s="22"/>
      <c r="C891" s="23"/>
      <c r="D891" s="19" t="str">
        <f aca="false">IF($A891="","",IFERROR(IF(INDEX(tblKasa[Tarih],ROW($A891)-ROW(tblKasa[[#Headers],[Tarih]])+1)=0,RaporTarihi,INDEX(tblKasa[Tarih],ROW($A891)-ROW(tblKasa[[#Headers],[Tarih]])+1))-$A891,RaporTarihi-$A891))</f>
        <v/>
      </c>
      <c r="E891" s="18" t="n">
        <f aca="false">IF($C891="",0,ROUND($C891*$D891,0))</f>
        <v>0</v>
      </c>
      <c r="F891" s="22"/>
    </row>
    <row r="892" customFormat="false" ht="15" hidden="false" customHeight="false" outlineLevel="0" collapsed="false">
      <c r="A892" s="21"/>
      <c r="B892" s="22"/>
      <c r="C892" s="23"/>
      <c r="D892" s="19" t="str">
        <f aca="false">IF($A892="","",IFERROR(IF(INDEX(tblKasa[Tarih],ROW($A892)-ROW(tblKasa[[#Headers],[Tarih]])+1)=0,RaporTarihi,INDEX(tblKasa[Tarih],ROW($A892)-ROW(tblKasa[[#Headers],[Tarih]])+1))-$A892,RaporTarihi-$A892))</f>
        <v/>
      </c>
      <c r="E892" s="18" t="n">
        <f aca="false">IF($C892="",0,ROUND($C892*$D892,0))</f>
        <v>0</v>
      </c>
      <c r="F892" s="22"/>
    </row>
    <row r="893" customFormat="false" ht="15" hidden="false" customHeight="false" outlineLevel="0" collapsed="false">
      <c r="A893" s="21"/>
      <c r="B893" s="22"/>
      <c r="C893" s="23"/>
      <c r="D893" s="19" t="str">
        <f aca="false">IF($A893="","",IFERROR(IF(INDEX(tblKasa[Tarih],ROW($A893)-ROW(tblKasa[[#Headers],[Tarih]])+1)=0,RaporTarihi,INDEX(tblKasa[Tarih],ROW($A893)-ROW(tblKasa[[#Headers],[Tarih]])+1))-$A893,RaporTarihi-$A893))</f>
        <v/>
      </c>
      <c r="E893" s="18" t="n">
        <f aca="false">IF($C893="",0,ROUND($C893*$D893,0))</f>
        <v>0</v>
      </c>
      <c r="F893" s="22"/>
    </row>
    <row r="894" customFormat="false" ht="15" hidden="false" customHeight="false" outlineLevel="0" collapsed="false">
      <c r="A894" s="21"/>
      <c r="B894" s="22"/>
      <c r="C894" s="23"/>
      <c r="D894" s="19" t="str">
        <f aca="false">IF($A894="","",IFERROR(IF(INDEX(tblKasa[Tarih],ROW($A894)-ROW(tblKasa[[#Headers],[Tarih]])+1)=0,RaporTarihi,INDEX(tblKasa[Tarih],ROW($A894)-ROW(tblKasa[[#Headers],[Tarih]])+1))-$A894,RaporTarihi-$A894))</f>
        <v/>
      </c>
      <c r="E894" s="18" t="n">
        <f aca="false">IF($C894="",0,ROUND($C894*$D894,0))</f>
        <v>0</v>
      </c>
      <c r="F894" s="22"/>
    </row>
    <row r="895" customFormat="false" ht="15" hidden="false" customHeight="false" outlineLevel="0" collapsed="false">
      <c r="A895" s="21"/>
      <c r="B895" s="22"/>
      <c r="C895" s="23"/>
      <c r="D895" s="19" t="str">
        <f aca="false">IF($A895="","",IFERROR(IF(INDEX(tblKasa[Tarih],ROW($A895)-ROW(tblKasa[[#Headers],[Tarih]])+1)=0,RaporTarihi,INDEX(tblKasa[Tarih],ROW($A895)-ROW(tblKasa[[#Headers],[Tarih]])+1))-$A895,RaporTarihi-$A895))</f>
        <v/>
      </c>
      <c r="E895" s="18" t="n">
        <f aca="false">IF($C895="",0,ROUND($C895*$D895,0))</f>
        <v>0</v>
      </c>
      <c r="F895" s="22"/>
    </row>
    <row r="896" customFormat="false" ht="15" hidden="false" customHeight="false" outlineLevel="0" collapsed="false">
      <c r="A896" s="21"/>
      <c r="B896" s="22"/>
      <c r="C896" s="23"/>
      <c r="D896" s="19" t="str">
        <f aca="false">IF($A896="","",IFERROR(IF(INDEX(tblKasa[Tarih],ROW($A896)-ROW(tblKasa[[#Headers],[Tarih]])+1)=0,RaporTarihi,INDEX(tblKasa[Tarih],ROW($A896)-ROW(tblKasa[[#Headers],[Tarih]])+1))-$A896,RaporTarihi-$A896))</f>
        <v/>
      </c>
      <c r="E896" s="18" t="n">
        <f aca="false">IF($C896="",0,ROUND($C896*$D896,0))</f>
        <v>0</v>
      </c>
      <c r="F896" s="22"/>
    </row>
    <row r="897" customFormat="false" ht="15" hidden="false" customHeight="false" outlineLevel="0" collapsed="false">
      <c r="A897" s="21"/>
      <c r="B897" s="22"/>
      <c r="C897" s="23"/>
      <c r="D897" s="19" t="str">
        <f aca="false">IF($A897="","",IFERROR(IF(INDEX(tblKasa[Tarih],ROW($A897)-ROW(tblKasa[[#Headers],[Tarih]])+1)=0,RaporTarihi,INDEX(tblKasa[Tarih],ROW($A897)-ROW(tblKasa[[#Headers],[Tarih]])+1))-$A897,RaporTarihi-$A897))</f>
        <v/>
      </c>
      <c r="E897" s="18" t="n">
        <f aca="false">IF($C897="",0,ROUND($C897*$D897,0))</f>
        <v>0</v>
      </c>
      <c r="F897" s="22"/>
    </row>
    <row r="898" customFormat="false" ht="15" hidden="false" customHeight="false" outlineLevel="0" collapsed="false">
      <c r="A898" s="21"/>
      <c r="B898" s="22"/>
      <c r="C898" s="23"/>
      <c r="D898" s="19" t="str">
        <f aca="false">IF($A898="","",IFERROR(IF(INDEX(tblKasa[Tarih],ROW($A898)-ROW(tblKasa[[#Headers],[Tarih]])+1)=0,RaporTarihi,INDEX(tblKasa[Tarih],ROW($A898)-ROW(tblKasa[[#Headers],[Tarih]])+1))-$A898,RaporTarihi-$A898))</f>
        <v/>
      </c>
      <c r="E898" s="18" t="n">
        <f aca="false">IF($C898="",0,ROUND($C898*$D898,0))</f>
        <v>0</v>
      </c>
      <c r="F898" s="22"/>
    </row>
    <row r="899" customFormat="false" ht="15" hidden="false" customHeight="false" outlineLevel="0" collapsed="false">
      <c r="A899" s="21"/>
      <c r="B899" s="22"/>
      <c r="C899" s="23"/>
      <c r="D899" s="19" t="str">
        <f aca="false">IF($A899="","",IFERROR(IF(INDEX(tblKasa[Tarih],ROW($A899)-ROW(tblKasa[[#Headers],[Tarih]])+1)=0,RaporTarihi,INDEX(tblKasa[Tarih],ROW($A899)-ROW(tblKasa[[#Headers],[Tarih]])+1))-$A899,RaporTarihi-$A899))</f>
        <v/>
      </c>
      <c r="E899" s="18" t="n">
        <f aca="false">IF($C899="",0,ROUND($C899*$D899,0))</f>
        <v>0</v>
      </c>
      <c r="F899" s="22"/>
    </row>
    <row r="900" customFormat="false" ht="15" hidden="false" customHeight="false" outlineLevel="0" collapsed="false">
      <c r="A900" s="21"/>
      <c r="B900" s="22"/>
      <c r="C900" s="23"/>
      <c r="D900" s="19" t="str">
        <f aca="false">IF($A900="","",IFERROR(IF(INDEX(tblKasa[Tarih],ROW($A900)-ROW(tblKasa[[#Headers],[Tarih]])+1)=0,RaporTarihi,INDEX(tblKasa[Tarih],ROW($A900)-ROW(tblKasa[[#Headers],[Tarih]])+1))-$A900,RaporTarihi-$A900))</f>
        <v/>
      </c>
      <c r="E900" s="18" t="n">
        <f aca="false">IF($C900="",0,ROUND($C900*$D900,0))</f>
        <v>0</v>
      </c>
      <c r="F900" s="22"/>
    </row>
    <row r="901" customFormat="false" ht="15" hidden="false" customHeight="false" outlineLevel="0" collapsed="false">
      <c r="A901" s="21"/>
      <c r="B901" s="22"/>
      <c r="C901" s="23"/>
      <c r="D901" s="19" t="str">
        <f aca="false">IF($A901="","",IFERROR(IF(INDEX(tblKasa[Tarih],ROW($A901)-ROW(tblKasa[[#Headers],[Tarih]])+1)=0,RaporTarihi,INDEX(tblKasa[Tarih],ROW($A901)-ROW(tblKasa[[#Headers],[Tarih]])+1))-$A901,RaporTarihi-$A901))</f>
        <v/>
      </c>
      <c r="E901" s="18" t="n">
        <f aca="false">IF($C901="",0,ROUND($C901*$D901,0))</f>
        <v>0</v>
      </c>
      <c r="F901" s="22"/>
    </row>
    <row r="902" customFormat="false" ht="15" hidden="false" customHeight="false" outlineLevel="0" collapsed="false">
      <c r="A902" s="21"/>
      <c r="B902" s="22"/>
      <c r="C902" s="23"/>
      <c r="D902" s="19" t="str">
        <f aca="false">IF($A902="","",IFERROR(IF(INDEX(tblKasa[Tarih],ROW($A902)-ROW(tblKasa[[#Headers],[Tarih]])+1)=0,RaporTarihi,INDEX(tblKasa[Tarih],ROW($A902)-ROW(tblKasa[[#Headers],[Tarih]])+1))-$A902,RaporTarihi-$A902))</f>
        <v/>
      </c>
      <c r="E902" s="18" t="n">
        <f aca="false">IF($C902="",0,ROUND($C902*$D902,0))</f>
        <v>0</v>
      </c>
      <c r="F902" s="22"/>
    </row>
    <row r="903" customFormat="false" ht="15" hidden="false" customHeight="false" outlineLevel="0" collapsed="false">
      <c r="A903" s="21"/>
      <c r="B903" s="22"/>
      <c r="C903" s="23"/>
      <c r="D903" s="19" t="str">
        <f aca="false">IF($A903="","",IFERROR(IF(INDEX(tblKasa[Tarih],ROW($A903)-ROW(tblKasa[[#Headers],[Tarih]])+1)=0,RaporTarihi,INDEX(tblKasa[Tarih],ROW($A903)-ROW(tblKasa[[#Headers],[Tarih]])+1))-$A903,RaporTarihi-$A903))</f>
        <v/>
      </c>
      <c r="E903" s="18" t="n">
        <f aca="false">IF($C903="",0,ROUND($C903*$D903,0))</f>
        <v>0</v>
      </c>
      <c r="F903" s="22"/>
    </row>
    <row r="904" customFormat="false" ht="15" hidden="false" customHeight="false" outlineLevel="0" collapsed="false">
      <c r="A904" s="21"/>
      <c r="B904" s="22"/>
      <c r="C904" s="23"/>
      <c r="D904" s="19" t="str">
        <f aca="false">IF($A904="","",IFERROR(IF(INDEX(tblKasa[Tarih],ROW($A904)-ROW(tblKasa[[#Headers],[Tarih]])+1)=0,RaporTarihi,INDEX(tblKasa[Tarih],ROW($A904)-ROW(tblKasa[[#Headers],[Tarih]])+1))-$A904,RaporTarihi-$A904))</f>
        <v/>
      </c>
      <c r="E904" s="18" t="n">
        <f aca="false">IF($C904="",0,ROUND($C904*$D904,0))</f>
        <v>0</v>
      </c>
      <c r="F904" s="22"/>
    </row>
    <row r="905" customFormat="false" ht="15" hidden="false" customHeight="false" outlineLevel="0" collapsed="false">
      <c r="A905" s="21"/>
      <c r="B905" s="22"/>
      <c r="C905" s="23"/>
      <c r="D905" s="19" t="str">
        <f aca="false">IF($A905="","",IFERROR(IF(INDEX(tblKasa[Tarih],ROW($A905)-ROW(tblKasa[[#Headers],[Tarih]])+1)=0,RaporTarihi,INDEX(tblKasa[Tarih],ROW($A905)-ROW(tblKasa[[#Headers],[Tarih]])+1))-$A905,RaporTarihi-$A905))</f>
        <v/>
      </c>
      <c r="E905" s="18" t="n">
        <f aca="false">IF($C905="",0,ROUND($C905*$D905,0))</f>
        <v>0</v>
      </c>
      <c r="F905" s="22"/>
    </row>
    <row r="906" customFormat="false" ht="15" hidden="false" customHeight="false" outlineLevel="0" collapsed="false">
      <c r="A906" s="21"/>
      <c r="B906" s="22"/>
      <c r="C906" s="23"/>
      <c r="D906" s="19" t="str">
        <f aca="false">IF($A906="","",IFERROR(IF(INDEX(tblKasa[Tarih],ROW($A906)-ROW(tblKasa[[#Headers],[Tarih]])+1)=0,RaporTarihi,INDEX(tblKasa[Tarih],ROW($A906)-ROW(tblKasa[[#Headers],[Tarih]])+1))-$A906,RaporTarihi-$A906))</f>
        <v/>
      </c>
      <c r="E906" s="18" t="n">
        <f aca="false">IF($C906="",0,ROUND($C906*$D906,0))</f>
        <v>0</v>
      </c>
      <c r="F906" s="22"/>
    </row>
    <row r="907" customFormat="false" ht="15" hidden="false" customHeight="false" outlineLevel="0" collapsed="false">
      <c r="A907" s="21"/>
      <c r="B907" s="22"/>
      <c r="C907" s="23"/>
      <c r="D907" s="19" t="str">
        <f aca="false">IF($A907="","",IFERROR(IF(INDEX(tblKasa[Tarih],ROW($A907)-ROW(tblKasa[[#Headers],[Tarih]])+1)=0,RaporTarihi,INDEX(tblKasa[Tarih],ROW($A907)-ROW(tblKasa[[#Headers],[Tarih]])+1))-$A907,RaporTarihi-$A907))</f>
        <v/>
      </c>
      <c r="E907" s="18" t="n">
        <f aca="false">IF($C907="",0,ROUND($C907*$D907,0))</f>
        <v>0</v>
      </c>
      <c r="F907" s="22"/>
    </row>
    <row r="908" customFormat="false" ht="15" hidden="false" customHeight="false" outlineLevel="0" collapsed="false">
      <c r="A908" s="21"/>
      <c r="B908" s="22"/>
      <c r="C908" s="23"/>
      <c r="D908" s="19" t="str">
        <f aca="false">IF($A908="","",IFERROR(IF(INDEX(tblKasa[Tarih],ROW($A908)-ROW(tblKasa[[#Headers],[Tarih]])+1)=0,RaporTarihi,INDEX(tblKasa[Tarih],ROW($A908)-ROW(tblKasa[[#Headers],[Tarih]])+1))-$A908,RaporTarihi-$A908))</f>
        <v/>
      </c>
      <c r="E908" s="18" t="n">
        <f aca="false">IF($C908="",0,ROUND($C908*$D908,0))</f>
        <v>0</v>
      </c>
      <c r="F908" s="22"/>
    </row>
    <row r="909" customFormat="false" ht="15" hidden="false" customHeight="false" outlineLevel="0" collapsed="false">
      <c r="A909" s="21"/>
      <c r="B909" s="22"/>
      <c r="C909" s="23"/>
      <c r="D909" s="19" t="str">
        <f aca="false">IF($A909="","",IFERROR(IF(INDEX(tblKasa[Tarih],ROW($A909)-ROW(tblKasa[[#Headers],[Tarih]])+1)=0,RaporTarihi,INDEX(tblKasa[Tarih],ROW($A909)-ROW(tblKasa[[#Headers],[Tarih]])+1))-$A909,RaporTarihi-$A909))</f>
        <v/>
      </c>
      <c r="E909" s="18" t="n">
        <f aca="false">IF($C909="",0,ROUND($C909*$D909,0))</f>
        <v>0</v>
      </c>
      <c r="F909" s="22"/>
    </row>
    <row r="910" customFormat="false" ht="15" hidden="false" customHeight="false" outlineLevel="0" collapsed="false">
      <c r="A910" s="21"/>
      <c r="B910" s="22"/>
      <c r="C910" s="23"/>
      <c r="D910" s="19" t="str">
        <f aca="false">IF($A910="","",IFERROR(IF(INDEX(tblKasa[Tarih],ROW($A910)-ROW(tblKasa[[#Headers],[Tarih]])+1)=0,RaporTarihi,INDEX(tblKasa[Tarih],ROW($A910)-ROW(tblKasa[[#Headers],[Tarih]])+1))-$A910,RaporTarihi-$A910))</f>
        <v/>
      </c>
      <c r="E910" s="18" t="n">
        <f aca="false">IF($C910="",0,ROUND($C910*$D910,0))</f>
        <v>0</v>
      </c>
      <c r="F910" s="22"/>
    </row>
    <row r="911" customFormat="false" ht="15" hidden="false" customHeight="false" outlineLevel="0" collapsed="false">
      <c r="A911" s="21"/>
      <c r="B911" s="22"/>
      <c r="C911" s="23"/>
      <c r="D911" s="19" t="str">
        <f aca="false">IF($A911="","",IFERROR(IF(INDEX(tblKasa[Tarih],ROW($A911)-ROW(tblKasa[[#Headers],[Tarih]])+1)=0,RaporTarihi,INDEX(tblKasa[Tarih],ROW($A911)-ROW(tblKasa[[#Headers],[Tarih]])+1))-$A911,RaporTarihi-$A911))</f>
        <v/>
      </c>
      <c r="E911" s="18" t="n">
        <f aca="false">IF($C911="",0,ROUND($C911*$D911,0))</f>
        <v>0</v>
      </c>
      <c r="F911" s="22"/>
    </row>
    <row r="912" customFormat="false" ht="15" hidden="false" customHeight="false" outlineLevel="0" collapsed="false">
      <c r="A912" s="21"/>
      <c r="B912" s="22"/>
      <c r="C912" s="23"/>
      <c r="D912" s="19" t="str">
        <f aca="false">IF($A912="","",IFERROR(IF(INDEX(tblKasa[Tarih],ROW($A912)-ROW(tblKasa[[#Headers],[Tarih]])+1)=0,RaporTarihi,INDEX(tblKasa[Tarih],ROW($A912)-ROW(tblKasa[[#Headers],[Tarih]])+1))-$A912,RaporTarihi-$A912))</f>
        <v/>
      </c>
      <c r="E912" s="18" t="n">
        <f aca="false">IF($C912="",0,ROUND($C912*$D912,0))</f>
        <v>0</v>
      </c>
      <c r="F912" s="22"/>
    </row>
    <row r="913" customFormat="false" ht="15" hidden="false" customHeight="false" outlineLevel="0" collapsed="false">
      <c r="A913" s="21"/>
      <c r="B913" s="22"/>
      <c r="C913" s="23"/>
      <c r="D913" s="19" t="str">
        <f aca="false">IF($A913="","",IFERROR(IF(INDEX(tblKasa[Tarih],ROW($A913)-ROW(tblKasa[[#Headers],[Tarih]])+1)=0,RaporTarihi,INDEX(tblKasa[Tarih],ROW($A913)-ROW(tblKasa[[#Headers],[Tarih]])+1))-$A913,RaporTarihi-$A913))</f>
        <v/>
      </c>
      <c r="E913" s="18" t="n">
        <f aca="false">IF($C913="",0,ROUND($C913*$D913,0))</f>
        <v>0</v>
      </c>
      <c r="F913" s="22"/>
    </row>
    <row r="914" customFormat="false" ht="15" hidden="false" customHeight="false" outlineLevel="0" collapsed="false">
      <c r="A914" s="21"/>
      <c r="B914" s="22"/>
      <c r="C914" s="23"/>
      <c r="D914" s="19" t="str">
        <f aca="false">IF($A914="","",IFERROR(IF(INDEX(tblKasa[Tarih],ROW($A914)-ROW(tblKasa[[#Headers],[Tarih]])+1)=0,RaporTarihi,INDEX(tblKasa[Tarih],ROW($A914)-ROW(tblKasa[[#Headers],[Tarih]])+1))-$A914,RaporTarihi-$A914))</f>
        <v/>
      </c>
      <c r="E914" s="18" t="n">
        <f aca="false">IF($C914="",0,ROUND($C914*$D914,0))</f>
        <v>0</v>
      </c>
      <c r="F914" s="22"/>
    </row>
    <row r="915" customFormat="false" ht="15" hidden="false" customHeight="false" outlineLevel="0" collapsed="false">
      <c r="A915" s="21"/>
      <c r="B915" s="22"/>
      <c r="C915" s="23"/>
      <c r="D915" s="19" t="str">
        <f aca="false">IF($A915="","",IFERROR(IF(INDEX(tblKasa[Tarih],ROW($A915)-ROW(tblKasa[[#Headers],[Tarih]])+1)=0,RaporTarihi,INDEX(tblKasa[Tarih],ROW($A915)-ROW(tblKasa[[#Headers],[Tarih]])+1))-$A915,RaporTarihi-$A915))</f>
        <v/>
      </c>
      <c r="E915" s="18" t="n">
        <f aca="false">IF($C915="",0,ROUND($C915*$D915,0))</f>
        <v>0</v>
      </c>
      <c r="F915" s="22"/>
    </row>
    <row r="916" customFormat="false" ht="15" hidden="false" customHeight="false" outlineLevel="0" collapsed="false">
      <c r="A916" s="21"/>
      <c r="B916" s="22"/>
      <c r="C916" s="23"/>
      <c r="D916" s="19" t="str">
        <f aca="false">IF($A916="","",IFERROR(IF(INDEX(tblKasa[Tarih],ROW($A916)-ROW(tblKasa[[#Headers],[Tarih]])+1)=0,RaporTarihi,INDEX(tblKasa[Tarih],ROW($A916)-ROW(tblKasa[[#Headers],[Tarih]])+1))-$A916,RaporTarihi-$A916))</f>
        <v/>
      </c>
      <c r="E916" s="18" t="n">
        <f aca="false">IF($C916="",0,ROUND($C916*$D916,0))</f>
        <v>0</v>
      </c>
      <c r="F916" s="22"/>
    </row>
    <row r="917" customFormat="false" ht="15" hidden="false" customHeight="false" outlineLevel="0" collapsed="false">
      <c r="A917" s="21"/>
      <c r="B917" s="22"/>
      <c r="C917" s="23"/>
      <c r="D917" s="19" t="str">
        <f aca="false">IF($A917="","",IFERROR(IF(INDEX(tblKasa[Tarih],ROW($A917)-ROW(tblKasa[[#Headers],[Tarih]])+1)=0,RaporTarihi,INDEX(tblKasa[Tarih],ROW($A917)-ROW(tblKasa[[#Headers],[Tarih]])+1))-$A917,RaporTarihi-$A917))</f>
        <v/>
      </c>
      <c r="E917" s="18" t="n">
        <f aca="false">IF($C917="",0,ROUND($C917*$D917,0))</f>
        <v>0</v>
      </c>
      <c r="F917" s="22"/>
    </row>
    <row r="918" customFormat="false" ht="15" hidden="false" customHeight="false" outlineLevel="0" collapsed="false">
      <c r="A918" s="21"/>
      <c r="B918" s="22"/>
      <c r="C918" s="23"/>
      <c r="D918" s="19" t="str">
        <f aca="false">IF($A918="","",IFERROR(IF(INDEX(tblKasa[Tarih],ROW($A918)-ROW(tblKasa[[#Headers],[Tarih]])+1)=0,RaporTarihi,INDEX(tblKasa[Tarih],ROW($A918)-ROW(tblKasa[[#Headers],[Tarih]])+1))-$A918,RaporTarihi-$A918))</f>
        <v/>
      </c>
      <c r="E918" s="18" t="n">
        <f aca="false">IF($C918="",0,ROUND($C918*$D918,0))</f>
        <v>0</v>
      </c>
      <c r="F918" s="22"/>
    </row>
    <row r="919" customFormat="false" ht="15" hidden="false" customHeight="false" outlineLevel="0" collapsed="false">
      <c r="A919" s="21"/>
      <c r="B919" s="22"/>
      <c r="C919" s="23"/>
      <c r="D919" s="19" t="str">
        <f aca="false">IF($A919="","",IFERROR(IF(INDEX(tblKasa[Tarih],ROW($A919)-ROW(tblKasa[[#Headers],[Tarih]])+1)=0,RaporTarihi,INDEX(tblKasa[Tarih],ROW($A919)-ROW(tblKasa[[#Headers],[Tarih]])+1))-$A919,RaporTarihi-$A919))</f>
        <v/>
      </c>
      <c r="E919" s="18" t="n">
        <f aca="false">IF($C919="",0,ROUND($C919*$D919,0))</f>
        <v>0</v>
      </c>
      <c r="F919" s="22"/>
    </row>
    <row r="920" customFormat="false" ht="15" hidden="false" customHeight="false" outlineLevel="0" collapsed="false">
      <c r="A920" s="21"/>
      <c r="B920" s="22"/>
      <c r="C920" s="23"/>
      <c r="D920" s="19" t="str">
        <f aca="false">IF($A920="","",IFERROR(IF(INDEX(tblKasa[Tarih],ROW($A920)-ROW(tblKasa[[#Headers],[Tarih]])+1)=0,RaporTarihi,INDEX(tblKasa[Tarih],ROW($A920)-ROW(tblKasa[[#Headers],[Tarih]])+1))-$A920,RaporTarihi-$A920))</f>
        <v/>
      </c>
      <c r="E920" s="18" t="n">
        <f aca="false">IF($C920="",0,ROUND($C920*$D920,0))</f>
        <v>0</v>
      </c>
      <c r="F920" s="22"/>
    </row>
    <row r="921" customFormat="false" ht="15" hidden="false" customHeight="false" outlineLevel="0" collapsed="false">
      <c r="A921" s="21"/>
      <c r="B921" s="22"/>
      <c r="C921" s="23"/>
      <c r="D921" s="19" t="str">
        <f aca="false">IF($A921="","",IFERROR(IF(INDEX(tblKasa[Tarih],ROW($A921)-ROW(tblKasa[[#Headers],[Tarih]])+1)=0,RaporTarihi,INDEX(tblKasa[Tarih],ROW($A921)-ROW(tblKasa[[#Headers],[Tarih]])+1))-$A921,RaporTarihi-$A921))</f>
        <v/>
      </c>
      <c r="E921" s="18" t="n">
        <f aca="false">IF($C921="",0,ROUND($C921*$D921,0))</f>
        <v>0</v>
      </c>
      <c r="F921" s="22"/>
    </row>
    <row r="922" customFormat="false" ht="15" hidden="false" customHeight="false" outlineLevel="0" collapsed="false">
      <c r="A922" s="21"/>
      <c r="B922" s="22"/>
      <c r="C922" s="23"/>
      <c r="D922" s="19" t="str">
        <f aca="false">IF($A922="","",IFERROR(IF(INDEX(tblKasa[Tarih],ROW($A922)-ROW(tblKasa[[#Headers],[Tarih]])+1)=0,RaporTarihi,INDEX(tblKasa[Tarih],ROW($A922)-ROW(tblKasa[[#Headers],[Tarih]])+1))-$A922,RaporTarihi-$A922))</f>
        <v/>
      </c>
      <c r="E922" s="18" t="n">
        <f aca="false">IF($C922="",0,ROUND($C922*$D922,0))</f>
        <v>0</v>
      </c>
      <c r="F922" s="22"/>
    </row>
    <row r="923" customFormat="false" ht="15" hidden="false" customHeight="false" outlineLevel="0" collapsed="false">
      <c r="A923" s="21"/>
      <c r="B923" s="22"/>
      <c r="C923" s="23"/>
      <c r="D923" s="19" t="str">
        <f aca="false">IF($A923="","",IFERROR(IF(INDEX(tblKasa[Tarih],ROW($A923)-ROW(tblKasa[[#Headers],[Tarih]])+1)=0,RaporTarihi,INDEX(tblKasa[Tarih],ROW($A923)-ROW(tblKasa[[#Headers],[Tarih]])+1))-$A923,RaporTarihi-$A923))</f>
        <v/>
      </c>
      <c r="E923" s="18" t="n">
        <f aca="false">IF($C923="",0,ROUND($C923*$D923,0))</f>
        <v>0</v>
      </c>
      <c r="F923" s="22"/>
    </row>
    <row r="924" customFormat="false" ht="15" hidden="false" customHeight="false" outlineLevel="0" collapsed="false">
      <c r="A924" s="21"/>
      <c r="B924" s="22"/>
      <c r="C924" s="23"/>
      <c r="D924" s="19" t="str">
        <f aca="false">IF($A924="","",IFERROR(IF(INDEX(tblKasa[Tarih],ROW($A924)-ROW(tblKasa[[#Headers],[Tarih]])+1)=0,RaporTarihi,INDEX(tblKasa[Tarih],ROW($A924)-ROW(tblKasa[[#Headers],[Tarih]])+1))-$A924,RaporTarihi-$A924))</f>
        <v/>
      </c>
      <c r="E924" s="18" t="n">
        <f aca="false">IF($C924="",0,ROUND($C924*$D924,0))</f>
        <v>0</v>
      </c>
      <c r="F924" s="22"/>
    </row>
    <row r="925" customFormat="false" ht="15" hidden="false" customHeight="false" outlineLevel="0" collapsed="false">
      <c r="A925" s="21"/>
      <c r="B925" s="22"/>
      <c r="C925" s="23"/>
      <c r="D925" s="19" t="str">
        <f aca="false">IF($A925="","",IFERROR(IF(INDEX(tblKasa[Tarih],ROW($A925)-ROW(tblKasa[[#Headers],[Tarih]])+1)=0,RaporTarihi,INDEX(tblKasa[Tarih],ROW($A925)-ROW(tblKasa[[#Headers],[Tarih]])+1))-$A925,RaporTarihi-$A925))</f>
        <v/>
      </c>
      <c r="E925" s="18" t="n">
        <f aca="false">IF($C925="",0,ROUND($C925*$D925,0))</f>
        <v>0</v>
      </c>
      <c r="F925" s="22"/>
    </row>
    <row r="926" customFormat="false" ht="15" hidden="false" customHeight="false" outlineLevel="0" collapsed="false">
      <c r="A926" s="21"/>
      <c r="B926" s="22"/>
      <c r="C926" s="23"/>
      <c r="D926" s="19" t="str">
        <f aca="false">IF($A926="","",IFERROR(IF(INDEX(tblKasa[Tarih],ROW($A926)-ROW(tblKasa[[#Headers],[Tarih]])+1)=0,RaporTarihi,INDEX(tblKasa[Tarih],ROW($A926)-ROW(tblKasa[[#Headers],[Tarih]])+1))-$A926,RaporTarihi-$A926))</f>
        <v/>
      </c>
      <c r="E926" s="18" t="n">
        <f aca="false">IF($C926="",0,ROUND($C926*$D926,0))</f>
        <v>0</v>
      </c>
      <c r="F926" s="22"/>
    </row>
    <row r="927" customFormat="false" ht="15" hidden="false" customHeight="false" outlineLevel="0" collapsed="false">
      <c r="A927" s="21"/>
      <c r="B927" s="22"/>
      <c r="C927" s="23"/>
      <c r="D927" s="19" t="str">
        <f aca="false">IF($A927="","",IFERROR(IF(INDEX(tblKasa[Tarih],ROW($A927)-ROW(tblKasa[[#Headers],[Tarih]])+1)=0,RaporTarihi,INDEX(tblKasa[Tarih],ROW($A927)-ROW(tblKasa[[#Headers],[Tarih]])+1))-$A927,RaporTarihi-$A927))</f>
        <v/>
      </c>
      <c r="E927" s="18" t="n">
        <f aca="false">IF($C927="",0,ROUND($C927*$D927,0))</f>
        <v>0</v>
      </c>
      <c r="F927" s="22"/>
    </row>
    <row r="928" customFormat="false" ht="15" hidden="false" customHeight="false" outlineLevel="0" collapsed="false">
      <c r="A928" s="21"/>
      <c r="B928" s="22"/>
      <c r="C928" s="23"/>
      <c r="D928" s="19" t="str">
        <f aca="false">IF($A928="","",IFERROR(IF(INDEX(tblKasa[Tarih],ROW($A928)-ROW(tblKasa[[#Headers],[Tarih]])+1)=0,RaporTarihi,INDEX(tblKasa[Tarih],ROW($A928)-ROW(tblKasa[[#Headers],[Tarih]])+1))-$A928,RaporTarihi-$A928))</f>
        <v/>
      </c>
      <c r="E928" s="18" t="n">
        <f aca="false">IF($C928="",0,ROUND($C928*$D928,0))</f>
        <v>0</v>
      </c>
      <c r="F928" s="22"/>
    </row>
    <row r="929" customFormat="false" ht="15" hidden="false" customHeight="false" outlineLevel="0" collapsed="false">
      <c r="A929" s="21"/>
      <c r="B929" s="22"/>
      <c r="C929" s="23"/>
      <c r="D929" s="19" t="str">
        <f aca="false">IF($A929="","",IFERROR(IF(INDEX(tblKasa[Tarih],ROW($A929)-ROW(tblKasa[[#Headers],[Tarih]])+1)=0,RaporTarihi,INDEX(tblKasa[Tarih],ROW($A929)-ROW(tblKasa[[#Headers],[Tarih]])+1))-$A929,RaporTarihi-$A929))</f>
        <v/>
      </c>
      <c r="E929" s="18" t="n">
        <f aca="false">IF($C929="",0,ROUND($C929*$D929,0))</f>
        <v>0</v>
      </c>
      <c r="F929" s="22"/>
    </row>
    <row r="930" customFormat="false" ht="15" hidden="false" customHeight="false" outlineLevel="0" collapsed="false">
      <c r="A930" s="21"/>
      <c r="B930" s="22"/>
      <c r="C930" s="23"/>
      <c r="D930" s="19" t="str">
        <f aca="false">IF($A930="","",IFERROR(IF(INDEX(tblKasa[Tarih],ROW($A930)-ROW(tblKasa[[#Headers],[Tarih]])+1)=0,RaporTarihi,INDEX(tblKasa[Tarih],ROW($A930)-ROW(tblKasa[[#Headers],[Tarih]])+1))-$A930,RaporTarihi-$A930))</f>
        <v/>
      </c>
      <c r="E930" s="18" t="n">
        <f aca="false">IF($C930="",0,ROUND($C930*$D930,0))</f>
        <v>0</v>
      </c>
      <c r="F930" s="22"/>
    </row>
    <row r="931" customFormat="false" ht="15" hidden="false" customHeight="false" outlineLevel="0" collapsed="false">
      <c r="A931" s="21"/>
      <c r="B931" s="22"/>
      <c r="C931" s="23"/>
      <c r="D931" s="19" t="str">
        <f aca="false">IF($A931="","",IFERROR(IF(INDEX(tblKasa[Tarih],ROW($A931)-ROW(tblKasa[[#Headers],[Tarih]])+1)=0,RaporTarihi,INDEX(tblKasa[Tarih],ROW($A931)-ROW(tblKasa[[#Headers],[Tarih]])+1))-$A931,RaporTarihi-$A931))</f>
        <v/>
      </c>
      <c r="E931" s="18" t="n">
        <f aca="false">IF($C931="",0,ROUND($C931*$D931,0))</f>
        <v>0</v>
      </c>
      <c r="F931" s="22"/>
    </row>
    <row r="932" customFormat="false" ht="15" hidden="false" customHeight="false" outlineLevel="0" collapsed="false">
      <c r="A932" s="21"/>
      <c r="B932" s="22"/>
      <c r="C932" s="23"/>
      <c r="D932" s="19" t="str">
        <f aca="false">IF($A932="","",IFERROR(IF(INDEX(tblKasa[Tarih],ROW($A932)-ROW(tblKasa[[#Headers],[Tarih]])+1)=0,RaporTarihi,INDEX(tblKasa[Tarih],ROW($A932)-ROW(tblKasa[[#Headers],[Tarih]])+1))-$A932,RaporTarihi-$A932))</f>
        <v/>
      </c>
      <c r="E932" s="18" t="n">
        <f aca="false">IF($C932="",0,ROUND($C932*$D932,0))</f>
        <v>0</v>
      </c>
      <c r="F932" s="22"/>
    </row>
    <row r="933" customFormat="false" ht="15" hidden="false" customHeight="false" outlineLevel="0" collapsed="false">
      <c r="A933" s="21"/>
      <c r="B933" s="22"/>
      <c r="C933" s="23"/>
      <c r="D933" s="19" t="str">
        <f aca="false">IF($A933="","",IFERROR(IF(INDEX(tblKasa[Tarih],ROW($A933)-ROW(tblKasa[[#Headers],[Tarih]])+1)=0,RaporTarihi,INDEX(tblKasa[Tarih],ROW($A933)-ROW(tblKasa[[#Headers],[Tarih]])+1))-$A933,RaporTarihi-$A933))</f>
        <v/>
      </c>
      <c r="E933" s="18" t="n">
        <f aca="false">IF($C933="",0,ROUND($C933*$D933,0))</f>
        <v>0</v>
      </c>
      <c r="F933" s="22"/>
    </row>
    <row r="934" customFormat="false" ht="15" hidden="false" customHeight="false" outlineLevel="0" collapsed="false">
      <c r="A934" s="21"/>
      <c r="B934" s="22"/>
      <c r="C934" s="23"/>
      <c r="D934" s="19" t="str">
        <f aca="false">IF($A934="","",IFERROR(IF(INDEX(tblKasa[Tarih],ROW($A934)-ROW(tblKasa[[#Headers],[Tarih]])+1)=0,RaporTarihi,INDEX(tblKasa[Tarih],ROW($A934)-ROW(tblKasa[[#Headers],[Tarih]])+1))-$A934,RaporTarihi-$A934))</f>
        <v/>
      </c>
      <c r="E934" s="18" t="n">
        <f aca="false">IF($C934="",0,ROUND($C934*$D934,0))</f>
        <v>0</v>
      </c>
      <c r="F934" s="22"/>
    </row>
    <row r="935" customFormat="false" ht="15" hidden="false" customHeight="false" outlineLevel="0" collapsed="false">
      <c r="A935" s="21"/>
      <c r="B935" s="22"/>
      <c r="C935" s="23"/>
      <c r="D935" s="19" t="str">
        <f aca="false">IF($A935="","",IFERROR(IF(INDEX(tblKasa[Tarih],ROW($A935)-ROW(tblKasa[[#Headers],[Tarih]])+1)=0,RaporTarihi,INDEX(tblKasa[Tarih],ROW($A935)-ROW(tblKasa[[#Headers],[Tarih]])+1))-$A935,RaporTarihi-$A935))</f>
        <v/>
      </c>
      <c r="E935" s="18" t="n">
        <f aca="false">IF($C935="",0,ROUND($C935*$D935,0))</f>
        <v>0</v>
      </c>
      <c r="F935" s="22"/>
    </row>
    <row r="936" customFormat="false" ht="15" hidden="false" customHeight="false" outlineLevel="0" collapsed="false">
      <c r="A936" s="21"/>
      <c r="B936" s="22"/>
      <c r="C936" s="23"/>
      <c r="D936" s="19" t="str">
        <f aca="false">IF($A936="","",IFERROR(IF(INDEX(tblKasa[Tarih],ROW($A936)-ROW(tblKasa[[#Headers],[Tarih]])+1)=0,RaporTarihi,INDEX(tblKasa[Tarih],ROW($A936)-ROW(tblKasa[[#Headers],[Tarih]])+1))-$A936,RaporTarihi-$A936))</f>
        <v/>
      </c>
      <c r="E936" s="18" t="n">
        <f aca="false">IF($C936="",0,ROUND($C936*$D936,0))</f>
        <v>0</v>
      </c>
      <c r="F936" s="22"/>
    </row>
    <row r="937" customFormat="false" ht="15" hidden="false" customHeight="false" outlineLevel="0" collapsed="false">
      <c r="A937" s="21"/>
      <c r="B937" s="22"/>
      <c r="C937" s="23"/>
      <c r="D937" s="19" t="str">
        <f aca="false">IF($A937="","",IFERROR(IF(INDEX(tblKasa[Tarih],ROW($A937)-ROW(tblKasa[[#Headers],[Tarih]])+1)=0,RaporTarihi,INDEX(tblKasa[Tarih],ROW($A937)-ROW(tblKasa[[#Headers],[Tarih]])+1))-$A937,RaporTarihi-$A937))</f>
        <v/>
      </c>
      <c r="E937" s="18" t="n">
        <f aca="false">IF($C937="",0,ROUND($C937*$D937,0))</f>
        <v>0</v>
      </c>
      <c r="F937" s="22"/>
    </row>
    <row r="938" customFormat="false" ht="15" hidden="false" customHeight="false" outlineLevel="0" collapsed="false">
      <c r="A938" s="21"/>
      <c r="B938" s="22"/>
      <c r="C938" s="23"/>
      <c r="D938" s="19" t="str">
        <f aca="false">IF($A938="","",IFERROR(IF(INDEX(tblKasa[Tarih],ROW($A938)-ROW(tblKasa[[#Headers],[Tarih]])+1)=0,RaporTarihi,INDEX(tblKasa[Tarih],ROW($A938)-ROW(tblKasa[[#Headers],[Tarih]])+1))-$A938,RaporTarihi-$A938))</f>
        <v/>
      </c>
      <c r="E938" s="18" t="n">
        <f aca="false">IF($C938="",0,ROUND($C938*$D938,0))</f>
        <v>0</v>
      </c>
      <c r="F938" s="22"/>
    </row>
    <row r="939" customFormat="false" ht="15" hidden="false" customHeight="false" outlineLevel="0" collapsed="false">
      <c r="A939" s="21"/>
      <c r="B939" s="22"/>
      <c r="C939" s="23"/>
      <c r="D939" s="19" t="str">
        <f aca="false">IF($A939="","",IFERROR(IF(INDEX(tblKasa[Tarih],ROW($A939)-ROW(tblKasa[[#Headers],[Tarih]])+1)=0,RaporTarihi,INDEX(tblKasa[Tarih],ROW($A939)-ROW(tblKasa[[#Headers],[Tarih]])+1))-$A939,RaporTarihi-$A939))</f>
        <v/>
      </c>
      <c r="E939" s="18" t="n">
        <f aca="false">IF($C939="",0,ROUND($C939*$D939,0))</f>
        <v>0</v>
      </c>
      <c r="F939" s="22"/>
    </row>
    <row r="940" customFormat="false" ht="15" hidden="false" customHeight="false" outlineLevel="0" collapsed="false">
      <c r="A940" s="21"/>
      <c r="B940" s="22"/>
      <c r="C940" s="23"/>
      <c r="D940" s="19" t="str">
        <f aca="false">IF($A940="","",IFERROR(IF(INDEX(tblKasa[Tarih],ROW($A940)-ROW(tblKasa[[#Headers],[Tarih]])+1)=0,RaporTarihi,INDEX(tblKasa[Tarih],ROW($A940)-ROW(tblKasa[[#Headers],[Tarih]])+1))-$A940,RaporTarihi-$A940))</f>
        <v/>
      </c>
      <c r="E940" s="18" t="n">
        <f aca="false">IF($C940="",0,ROUND($C940*$D940,0))</f>
        <v>0</v>
      </c>
      <c r="F940" s="22"/>
    </row>
    <row r="941" customFormat="false" ht="15" hidden="false" customHeight="false" outlineLevel="0" collapsed="false">
      <c r="A941" s="21"/>
      <c r="B941" s="22"/>
      <c r="C941" s="23"/>
      <c r="D941" s="19" t="str">
        <f aca="false">IF($A941="","",IFERROR(IF(INDEX(tblKasa[Tarih],ROW($A941)-ROW(tblKasa[[#Headers],[Tarih]])+1)=0,RaporTarihi,INDEX(tblKasa[Tarih],ROW($A941)-ROW(tblKasa[[#Headers],[Tarih]])+1))-$A941,RaporTarihi-$A941))</f>
        <v/>
      </c>
      <c r="E941" s="18" t="n">
        <f aca="false">IF($C941="",0,ROUND($C941*$D941,0))</f>
        <v>0</v>
      </c>
      <c r="F941" s="22"/>
    </row>
    <row r="942" customFormat="false" ht="15" hidden="false" customHeight="false" outlineLevel="0" collapsed="false">
      <c r="A942" s="21"/>
      <c r="B942" s="22"/>
      <c r="C942" s="23"/>
      <c r="D942" s="19" t="str">
        <f aca="false">IF($A942="","",IFERROR(IF(INDEX(tblKasa[Tarih],ROW($A942)-ROW(tblKasa[[#Headers],[Tarih]])+1)=0,RaporTarihi,INDEX(tblKasa[Tarih],ROW($A942)-ROW(tblKasa[[#Headers],[Tarih]])+1))-$A942,RaporTarihi-$A942))</f>
        <v/>
      </c>
      <c r="E942" s="18" t="n">
        <f aca="false">IF($C942="",0,ROUND($C942*$D942,0))</f>
        <v>0</v>
      </c>
      <c r="F942" s="22"/>
    </row>
    <row r="943" customFormat="false" ht="15" hidden="false" customHeight="false" outlineLevel="0" collapsed="false">
      <c r="A943" s="21"/>
      <c r="B943" s="22"/>
      <c r="C943" s="23"/>
      <c r="D943" s="19" t="str">
        <f aca="false">IF($A943="","",IFERROR(IF(INDEX(tblKasa[Tarih],ROW($A943)-ROW(tblKasa[[#Headers],[Tarih]])+1)=0,RaporTarihi,INDEX(tblKasa[Tarih],ROW($A943)-ROW(tblKasa[[#Headers],[Tarih]])+1))-$A943,RaporTarihi-$A943))</f>
        <v/>
      </c>
      <c r="E943" s="18" t="n">
        <f aca="false">IF($C943="",0,ROUND($C943*$D943,0))</f>
        <v>0</v>
      </c>
      <c r="F943" s="22"/>
    </row>
    <row r="944" customFormat="false" ht="15" hidden="false" customHeight="false" outlineLevel="0" collapsed="false">
      <c r="A944" s="21"/>
      <c r="B944" s="22"/>
      <c r="C944" s="23"/>
      <c r="D944" s="19" t="str">
        <f aca="false">IF($A944="","",IFERROR(IF(INDEX(tblKasa[Tarih],ROW($A944)-ROW(tblKasa[[#Headers],[Tarih]])+1)=0,RaporTarihi,INDEX(tblKasa[Tarih],ROW($A944)-ROW(tblKasa[[#Headers],[Tarih]])+1))-$A944,RaporTarihi-$A944))</f>
        <v/>
      </c>
      <c r="E944" s="18" t="n">
        <f aca="false">IF($C944="",0,ROUND($C944*$D944,0))</f>
        <v>0</v>
      </c>
      <c r="F944" s="22"/>
    </row>
    <row r="945" customFormat="false" ht="15" hidden="false" customHeight="false" outlineLevel="0" collapsed="false">
      <c r="A945" s="21"/>
      <c r="B945" s="22"/>
      <c r="C945" s="23"/>
      <c r="D945" s="19" t="str">
        <f aca="false">IF($A945="","",IFERROR(IF(INDEX(tblKasa[Tarih],ROW($A945)-ROW(tblKasa[[#Headers],[Tarih]])+1)=0,RaporTarihi,INDEX(tblKasa[Tarih],ROW($A945)-ROW(tblKasa[[#Headers],[Tarih]])+1))-$A945,RaporTarihi-$A945))</f>
        <v/>
      </c>
      <c r="E945" s="18" t="n">
        <f aca="false">IF($C945="",0,ROUND($C945*$D945,0))</f>
        <v>0</v>
      </c>
      <c r="F945" s="22"/>
    </row>
    <row r="946" customFormat="false" ht="15" hidden="false" customHeight="false" outlineLevel="0" collapsed="false">
      <c r="A946" s="21"/>
      <c r="B946" s="22"/>
      <c r="C946" s="23"/>
      <c r="D946" s="19" t="str">
        <f aca="false">IF($A946="","",IFERROR(IF(INDEX(tblKasa[Tarih],ROW($A946)-ROW(tblKasa[[#Headers],[Tarih]])+1)=0,RaporTarihi,INDEX(tblKasa[Tarih],ROW($A946)-ROW(tblKasa[[#Headers],[Tarih]])+1))-$A946,RaporTarihi-$A946))</f>
        <v/>
      </c>
      <c r="E946" s="18" t="n">
        <f aca="false">IF($C946="",0,ROUND($C946*$D946,0))</f>
        <v>0</v>
      </c>
      <c r="F946" s="22"/>
    </row>
    <row r="947" customFormat="false" ht="15" hidden="false" customHeight="false" outlineLevel="0" collapsed="false">
      <c r="A947" s="21"/>
      <c r="B947" s="22"/>
      <c r="C947" s="23"/>
      <c r="D947" s="19" t="str">
        <f aca="false">IF($A947="","",IFERROR(IF(INDEX(tblKasa[Tarih],ROW($A947)-ROW(tblKasa[[#Headers],[Tarih]])+1)=0,RaporTarihi,INDEX(tblKasa[Tarih],ROW($A947)-ROW(tblKasa[[#Headers],[Tarih]])+1))-$A947,RaporTarihi-$A947))</f>
        <v/>
      </c>
      <c r="E947" s="18" t="n">
        <f aca="false">IF($C947="",0,ROUND($C947*$D947,0))</f>
        <v>0</v>
      </c>
      <c r="F947" s="22"/>
    </row>
    <row r="948" customFormat="false" ht="15" hidden="false" customHeight="false" outlineLevel="0" collapsed="false">
      <c r="A948" s="21"/>
      <c r="B948" s="22"/>
      <c r="C948" s="23"/>
      <c r="D948" s="19" t="str">
        <f aca="false">IF($A948="","",IFERROR(IF(INDEX(tblKasa[Tarih],ROW($A948)-ROW(tblKasa[[#Headers],[Tarih]])+1)=0,RaporTarihi,INDEX(tblKasa[Tarih],ROW($A948)-ROW(tblKasa[[#Headers],[Tarih]])+1))-$A948,RaporTarihi-$A948))</f>
        <v/>
      </c>
      <c r="E948" s="18" t="n">
        <f aca="false">IF($C948="",0,ROUND($C948*$D948,0))</f>
        <v>0</v>
      </c>
      <c r="F948" s="22"/>
    </row>
    <row r="949" customFormat="false" ht="15" hidden="false" customHeight="false" outlineLevel="0" collapsed="false">
      <c r="A949" s="21"/>
      <c r="B949" s="22"/>
      <c r="C949" s="23"/>
      <c r="D949" s="19" t="str">
        <f aca="false">IF($A949="","",IFERROR(IF(INDEX(tblKasa[Tarih],ROW($A949)-ROW(tblKasa[[#Headers],[Tarih]])+1)=0,RaporTarihi,INDEX(tblKasa[Tarih],ROW($A949)-ROW(tblKasa[[#Headers],[Tarih]])+1))-$A949,RaporTarihi-$A949))</f>
        <v/>
      </c>
      <c r="E949" s="18" t="n">
        <f aca="false">IF($C949="",0,ROUND($C949*$D949,0))</f>
        <v>0</v>
      </c>
      <c r="F949" s="22"/>
    </row>
    <row r="950" customFormat="false" ht="15" hidden="false" customHeight="false" outlineLevel="0" collapsed="false">
      <c r="A950" s="21"/>
      <c r="B950" s="22"/>
      <c r="C950" s="23"/>
      <c r="D950" s="19" t="str">
        <f aca="false">IF($A950="","",IFERROR(IF(INDEX(tblKasa[Tarih],ROW($A950)-ROW(tblKasa[[#Headers],[Tarih]])+1)=0,RaporTarihi,INDEX(tblKasa[Tarih],ROW($A950)-ROW(tblKasa[[#Headers],[Tarih]])+1))-$A950,RaporTarihi-$A950))</f>
        <v/>
      </c>
      <c r="E950" s="18" t="n">
        <f aca="false">IF($C950="",0,ROUND($C950*$D950,0))</f>
        <v>0</v>
      </c>
      <c r="F950" s="22"/>
    </row>
    <row r="951" customFormat="false" ht="15" hidden="false" customHeight="false" outlineLevel="0" collapsed="false">
      <c r="A951" s="21"/>
      <c r="B951" s="22"/>
      <c r="C951" s="23"/>
      <c r="D951" s="19" t="str">
        <f aca="false">IF($A951="","",IFERROR(IF(INDEX(tblKasa[Tarih],ROW($A951)-ROW(tblKasa[[#Headers],[Tarih]])+1)=0,RaporTarihi,INDEX(tblKasa[Tarih],ROW($A951)-ROW(tblKasa[[#Headers],[Tarih]])+1))-$A951,RaporTarihi-$A951))</f>
        <v/>
      </c>
      <c r="E951" s="18" t="n">
        <f aca="false">IF($C951="",0,ROUND($C951*$D951,0))</f>
        <v>0</v>
      </c>
      <c r="F951" s="22"/>
    </row>
    <row r="952" customFormat="false" ht="15" hidden="false" customHeight="false" outlineLevel="0" collapsed="false">
      <c r="A952" s="21"/>
      <c r="B952" s="22"/>
      <c r="C952" s="23"/>
      <c r="D952" s="19" t="str">
        <f aca="false">IF($A952="","",IFERROR(IF(INDEX(tblKasa[Tarih],ROW($A952)-ROW(tblKasa[[#Headers],[Tarih]])+1)=0,RaporTarihi,INDEX(tblKasa[Tarih],ROW($A952)-ROW(tblKasa[[#Headers],[Tarih]])+1))-$A952,RaporTarihi-$A952))</f>
        <v/>
      </c>
      <c r="E952" s="18" t="n">
        <f aca="false">IF($C952="",0,ROUND($C952*$D952,0))</f>
        <v>0</v>
      </c>
      <c r="F952" s="22"/>
    </row>
    <row r="953" customFormat="false" ht="15" hidden="false" customHeight="false" outlineLevel="0" collapsed="false">
      <c r="A953" s="21"/>
      <c r="B953" s="22"/>
      <c r="C953" s="23"/>
      <c r="D953" s="19" t="str">
        <f aca="false">IF($A953="","",IFERROR(IF(INDEX(tblKasa[Tarih],ROW($A953)-ROW(tblKasa[[#Headers],[Tarih]])+1)=0,RaporTarihi,INDEX(tblKasa[Tarih],ROW($A953)-ROW(tblKasa[[#Headers],[Tarih]])+1))-$A953,RaporTarihi-$A953))</f>
        <v/>
      </c>
      <c r="E953" s="18" t="n">
        <f aca="false">IF($C953="",0,ROUND($C953*$D953,0))</f>
        <v>0</v>
      </c>
      <c r="F953" s="22"/>
    </row>
    <row r="954" customFormat="false" ht="15" hidden="false" customHeight="false" outlineLevel="0" collapsed="false">
      <c r="A954" s="21"/>
      <c r="B954" s="22"/>
      <c r="C954" s="23"/>
      <c r="D954" s="19" t="str">
        <f aca="false">IF($A954="","",IFERROR(IF(INDEX(tblKasa[Tarih],ROW($A954)-ROW(tblKasa[[#Headers],[Tarih]])+1)=0,RaporTarihi,INDEX(tblKasa[Tarih],ROW($A954)-ROW(tblKasa[[#Headers],[Tarih]])+1))-$A954,RaporTarihi-$A954))</f>
        <v/>
      </c>
      <c r="E954" s="18" t="n">
        <f aca="false">IF($C954="",0,ROUND($C954*$D954,0))</f>
        <v>0</v>
      </c>
      <c r="F954" s="22"/>
    </row>
    <row r="955" customFormat="false" ht="15" hidden="false" customHeight="false" outlineLevel="0" collapsed="false">
      <c r="A955" s="21"/>
      <c r="B955" s="22"/>
      <c r="C955" s="23"/>
      <c r="D955" s="19" t="str">
        <f aca="false">IF($A955="","",IFERROR(IF(INDEX(tblKasa[Tarih],ROW($A955)-ROW(tblKasa[[#Headers],[Tarih]])+1)=0,RaporTarihi,INDEX(tblKasa[Tarih],ROW($A955)-ROW(tblKasa[[#Headers],[Tarih]])+1))-$A955,RaporTarihi-$A955))</f>
        <v/>
      </c>
      <c r="E955" s="18" t="n">
        <f aca="false">IF($C955="",0,ROUND($C955*$D955,0))</f>
        <v>0</v>
      </c>
      <c r="F955" s="22"/>
    </row>
    <row r="956" customFormat="false" ht="15" hidden="false" customHeight="false" outlineLevel="0" collapsed="false">
      <c r="A956" s="21"/>
      <c r="B956" s="22"/>
      <c r="C956" s="23"/>
      <c r="D956" s="19" t="str">
        <f aca="false">IF($A956="","",IFERROR(IF(INDEX(tblKasa[Tarih],ROW($A956)-ROW(tblKasa[[#Headers],[Tarih]])+1)=0,RaporTarihi,INDEX(tblKasa[Tarih],ROW($A956)-ROW(tblKasa[[#Headers],[Tarih]])+1))-$A956,RaporTarihi-$A956))</f>
        <v/>
      </c>
      <c r="E956" s="18" t="n">
        <f aca="false">IF($C956="",0,ROUND($C956*$D956,0))</f>
        <v>0</v>
      </c>
      <c r="F956" s="22"/>
    </row>
    <row r="957" customFormat="false" ht="15" hidden="false" customHeight="false" outlineLevel="0" collapsed="false">
      <c r="A957" s="21"/>
      <c r="B957" s="22"/>
      <c r="C957" s="23"/>
      <c r="D957" s="19" t="str">
        <f aca="false">IF($A957="","",IFERROR(IF(INDEX(tblKasa[Tarih],ROW($A957)-ROW(tblKasa[[#Headers],[Tarih]])+1)=0,RaporTarihi,INDEX(tblKasa[Tarih],ROW($A957)-ROW(tblKasa[[#Headers],[Tarih]])+1))-$A957,RaporTarihi-$A957))</f>
        <v/>
      </c>
      <c r="E957" s="18" t="n">
        <f aca="false">IF($C957="",0,ROUND($C957*$D957,0))</f>
        <v>0</v>
      </c>
      <c r="F957" s="22"/>
    </row>
    <row r="958" customFormat="false" ht="15" hidden="false" customHeight="false" outlineLevel="0" collapsed="false">
      <c r="A958" s="21"/>
      <c r="B958" s="22"/>
      <c r="C958" s="23"/>
      <c r="D958" s="19" t="str">
        <f aca="false">IF($A958="","",IFERROR(IF(INDEX(tblKasa[Tarih],ROW($A958)-ROW(tblKasa[[#Headers],[Tarih]])+1)=0,RaporTarihi,INDEX(tblKasa[Tarih],ROW($A958)-ROW(tblKasa[[#Headers],[Tarih]])+1))-$A958,RaporTarihi-$A958))</f>
        <v/>
      </c>
      <c r="E958" s="18" t="n">
        <f aca="false">IF($C958="",0,ROUND($C958*$D958,0))</f>
        <v>0</v>
      </c>
      <c r="F958" s="22"/>
    </row>
    <row r="959" customFormat="false" ht="15" hidden="false" customHeight="false" outlineLevel="0" collapsed="false">
      <c r="A959" s="21"/>
      <c r="B959" s="22"/>
      <c r="C959" s="23"/>
      <c r="D959" s="19" t="str">
        <f aca="false">IF($A959="","",IFERROR(IF(INDEX(tblKasa[Tarih],ROW($A959)-ROW(tblKasa[[#Headers],[Tarih]])+1)=0,RaporTarihi,INDEX(tblKasa[Tarih],ROW($A959)-ROW(tblKasa[[#Headers],[Tarih]])+1))-$A959,RaporTarihi-$A959))</f>
        <v/>
      </c>
      <c r="E959" s="18" t="n">
        <f aca="false">IF($C959="",0,ROUND($C959*$D959,0))</f>
        <v>0</v>
      </c>
      <c r="F959" s="22"/>
    </row>
    <row r="960" customFormat="false" ht="15" hidden="false" customHeight="false" outlineLevel="0" collapsed="false">
      <c r="A960" s="21"/>
      <c r="B960" s="22"/>
      <c r="C960" s="23"/>
      <c r="D960" s="19" t="str">
        <f aca="false">IF($A960="","",IFERROR(IF(INDEX(tblKasa[Tarih],ROW($A960)-ROW(tblKasa[[#Headers],[Tarih]])+1)=0,RaporTarihi,INDEX(tblKasa[Tarih],ROW($A960)-ROW(tblKasa[[#Headers],[Tarih]])+1))-$A960,RaporTarihi-$A960))</f>
        <v/>
      </c>
      <c r="E960" s="18" t="n">
        <f aca="false">IF($C960="",0,ROUND($C960*$D960,0))</f>
        <v>0</v>
      </c>
      <c r="F960" s="22"/>
    </row>
    <row r="961" customFormat="false" ht="15" hidden="false" customHeight="false" outlineLevel="0" collapsed="false">
      <c r="A961" s="21"/>
      <c r="B961" s="22"/>
      <c r="C961" s="23"/>
      <c r="D961" s="19" t="str">
        <f aca="false">IF($A961="","",IFERROR(IF(INDEX(tblKasa[Tarih],ROW($A961)-ROW(tblKasa[[#Headers],[Tarih]])+1)=0,RaporTarihi,INDEX(tblKasa[Tarih],ROW($A961)-ROW(tblKasa[[#Headers],[Tarih]])+1))-$A961,RaporTarihi-$A961))</f>
        <v/>
      </c>
      <c r="E961" s="18" t="n">
        <f aca="false">IF($C961="",0,ROUND($C961*$D961,0))</f>
        <v>0</v>
      </c>
      <c r="F961" s="22"/>
    </row>
    <row r="962" customFormat="false" ht="15" hidden="false" customHeight="false" outlineLevel="0" collapsed="false">
      <c r="A962" s="21"/>
      <c r="B962" s="22"/>
      <c r="C962" s="23"/>
      <c r="D962" s="19" t="str">
        <f aca="false">IF($A962="","",IFERROR(IF(INDEX(tblKasa[Tarih],ROW($A962)-ROW(tblKasa[[#Headers],[Tarih]])+1)=0,RaporTarihi,INDEX(tblKasa[Tarih],ROW($A962)-ROW(tblKasa[[#Headers],[Tarih]])+1))-$A962,RaporTarihi-$A962))</f>
        <v/>
      </c>
      <c r="E962" s="18" t="n">
        <f aca="false">IF($C962="",0,ROUND($C962*$D962,0))</f>
        <v>0</v>
      </c>
      <c r="F962" s="22"/>
    </row>
    <row r="963" customFormat="false" ht="15" hidden="false" customHeight="false" outlineLevel="0" collapsed="false">
      <c r="A963" s="21"/>
      <c r="B963" s="22"/>
      <c r="C963" s="23"/>
      <c r="D963" s="19" t="str">
        <f aca="false">IF($A963="","",IFERROR(IF(INDEX(tblKasa[Tarih],ROW($A963)-ROW(tblKasa[[#Headers],[Tarih]])+1)=0,RaporTarihi,INDEX(tblKasa[Tarih],ROW($A963)-ROW(tblKasa[[#Headers],[Tarih]])+1))-$A963,RaporTarihi-$A963))</f>
        <v/>
      </c>
      <c r="E963" s="18" t="n">
        <f aca="false">IF($C963="",0,ROUND($C963*$D963,0))</f>
        <v>0</v>
      </c>
      <c r="F963" s="22"/>
    </row>
    <row r="964" customFormat="false" ht="15" hidden="false" customHeight="false" outlineLevel="0" collapsed="false">
      <c r="A964" s="21"/>
      <c r="B964" s="22"/>
      <c r="C964" s="23"/>
      <c r="D964" s="19" t="str">
        <f aca="false">IF($A964="","",IFERROR(IF(INDEX(tblKasa[Tarih],ROW($A964)-ROW(tblKasa[[#Headers],[Tarih]])+1)=0,RaporTarihi,INDEX(tblKasa[Tarih],ROW($A964)-ROW(tblKasa[[#Headers],[Tarih]])+1))-$A964,RaporTarihi-$A964))</f>
        <v/>
      </c>
      <c r="E964" s="18" t="n">
        <f aca="false">IF($C964="",0,ROUND($C964*$D964,0))</f>
        <v>0</v>
      </c>
      <c r="F964" s="22"/>
    </row>
    <row r="965" customFormat="false" ht="15" hidden="false" customHeight="false" outlineLevel="0" collapsed="false">
      <c r="A965" s="21"/>
      <c r="B965" s="22"/>
      <c r="C965" s="23"/>
      <c r="D965" s="19" t="str">
        <f aca="false">IF($A965="","",IFERROR(IF(INDEX(tblKasa[Tarih],ROW($A965)-ROW(tblKasa[[#Headers],[Tarih]])+1)=0,RaporTarihi,INDEX(tblKasa[Tarih],ROW($A965)-ROW(tblKasa[[#Headers],[Tarih]])+1))-$A965,RaporTarihi-$A965))</f>
        <v/>
      </c>
      <c r="E965" s="18" t="n">
        <f aca="false">IF($C965="",0,ROUND($C965*$D965,0))</f>
        <v>0</v>
      </c>
      <c r="F965" s="22"/>
    </row>
    <row r="966" customFormat="false" ht="15" hidden="false" customHeight="false" outlineLevel="0" collapsed="false">
      <c r="A966" s="21"/>
      <c r="B966" s="22"/>
      <c r="C966" s="23"/>
      <c r="D966" s="19" t="str">
        <f aca="false">IF($A966="","",IFERROR(IF(INDEX(tblKasa[Tarih],ROW($A966)-ROW(tblKasa[[#Headers],[Tarih]])+1)=0,RaporTarihi,INDEX(tblKasa[Tarih],ROW($A966)-ROW(tblKasa[[#Headers],[Tarih]])+1))-$A966,RaporTarihi-$A966))</f>
        <v/>
      </c>
      <c r="E966" s="18" t="n">
        <f aca="false">IF($C966="",0,ROUND($C966*$D966,0))</f>
        <v>0</v>
      </c>
      <c r="F966" s="22"/>
    </row>
    <row r="967" customFormat="false" ht="15" hidden="false" customHeight="false" outlineLevel="0" collapsed="false">
      <c r="A967" s="21"/>
      <c r="B967" s="22"/>
      <c r="C967" s="23"/>
      <c r="D967" s="19" t="str">
        <f aca="false">IF($A967="","",IFERROR(IF(INDEX(tblKasa[Tarih],ROW($A967)-ROW(tblKasa[[#Headers],[Tarih]])+1)=0,RaporTarihi,INDEX(tblKasa[Tarih],ROW($A967)-ROW(tblKasa[[#Headers],[Tarih]])+1))-$A967,RaporTarihi-$A967))</f>
        <v/>
      </c>
      <c r="E967" s="18" t="n">
        <f aca="false">IF($C967="",0,ROUND($C967*$D967,0))</f>
        <v>0</v>
      </c>
      <c r="F967" s="22"/>
    </row>
    <row r="968" customFormat="false" ht="15" hidden="false" customHeight="false" outlineLevel="0" collapsed="false">
      <c r="A968" s="21"/>
      <c r="B968" s="22"/>
      <c r="C968" s="23"/>
      <c r="D968" s="19" t="str">
        <f aca="false">IF($A968="","",IFERROR(IF(INDEX(tblKasa[Tarih],ROW($A968)-ROW(tblKasa[[#Headers],[Tarih]])+1)=0,RaporTarihi,INDEX(tblKasa[Tarih],ROW($A968)-ROW(tblKasa[[#Headers],[Tarih]])+1))-$A968,RaporTarihi-$A968))</f>
        <v/>
      </c>
      <c r="E968" s="18" t="n">
        <f aca="false">IF($C968="",0,ROUND($C968*$D968,0))</f>
        <v>0</v>
      </c>
      <c r="F968" s="22"/>
    </row>
    <row r="969" customFormat="false" ht="15" hidden="false" customHeight="false" outlineLevel="0" collapsed="false">
      <c r="A969" s="21"/>
      <c r="B969" s="22"/>
      <c r="C969" s="23"/>
      <c r="D969" s="19" t="str">
        <f aca="false">IF($A969="","",IFERROR(IF(INDEX(tblKasa[Tarih],ROW($A969)-ROW(tblKasa[[#Headers],[Tarih]])+1)=0,RaporTarihi,INDEX(tblKasa[Tarih],ROW($A969)-ROW(tblKasa[[#Headers],[Tarih]])+1))-$A969,RaporTarihi-$A969))</f>
        <v/>
      </c>
      <c r="E969" s="18" t="n">
        <f aca="false">IF($C969="",0,ROUND($C969*$D969,0))</f>
        <v>0</v>
      </c>
      <c r="F969" s="22"/>
    </row>
    <row r="970" customFormat="false" ht="15" hidden="false" customHeight="false" outlineLevel="0" collapsed="false">
      <c r="A970" s="21"/>
      <c r="B970" s="22"/>
      <c r="C970" s="23"/>
      <c r="D970" s="19" t="str">
        <f aca="false">IF($A970="","",IFERROR(IF(INDEX(tblKasa[Tarih],ROW($A970)-ROW(tblKasa[[#Headers],[Tarih]])+1)=0,RaporTarihi,INDEX(tblKasa[Tarih],ROW($A970)-ROW(tblKasa[[#Headers],[Tarih]])+1))-$A970,RaporTarihi-$A970))</f>
        <v/>
      </c>
      <c r="E970" s="18" t="n">
        <f aca="false">IF($C970="",0,ROUND($C970*$D970,0))</f>
        <v>0</v>
      </c>
      <c r="F970" s="22"/>
    </row>
    <row r="971" customFormat="false" ht="15" hidden="false" customHeight="false" outlineLevel="0" collapsed="false">
      <c r="A971" s="21"/>
      <c r="B971" s="22"/>
      <c r="C971" s="23"/>
      <c r="D971" s="19" t="str">
        <f aca="false">IF($A971="","",IFERROR(IF(INDEX(tblKasa[Tarih],ROW($A971)-ROW(tblKasa[[#Headers],[Tarih]])+1)=0,RaporTarihi,INDEX(tblKasa[Tarih],ROW($A971)-ROW(tblKasa[[#Headers],[Tarih]])+1))-$A971,RaporTarihi-$A971))</f>
        <v/>
      </c>
      <c r="E971" s="18" t="n">
        <f aca="false">IF($C971="",0,ROUND($C971*$D971,0))</f>
        <v>0</v>
      </c>
      <c r="F971" s="22"/>
    </row>
    <row r="972" customFormat="false" ht="15" hidden="false" customHeight="false" outlineLevel="0" collapsed="false">
      <c r="A972" s="21"/>
      <c r="B972" s="22"/>
      <c r="C972" s="23"/>
      <c r="D972" s="19" t="str">
        <f aca="false">IF($A972="","",IFERROR(IF(INDEX(tblKasa[Tarih],ROW($A972)-ROW(tblKasa[[#Headers],[Tarih]])+1)=0,RaporTarihi,INDEX(tblKasa[Tarih],ROW($A972)-ROW(tblKasa[[#Headers],[Tarih]])+1))-$A972,RaporTarihi-$A972))</f>
        <v/>
      </c>
      <c r="E972" s="18" t="n">
        <f aca="false">IF($C972="",0,ROUND($C972*$D972,0))</f>
        <v>0</v>
      </c>
      <c r="F972" s="22"/>
    </row>
    <row r="973" customFormat="false" ht="15" hidden="false" customHeight="false" outlineLevel="0" collapsed="false">
      <c r="A973" s="21"/>
      <c r="B973" s="22"/>
      <c r="C973" s="23"/>
      <c r="D973" s="19" t="str">
        <f aca="false">IF($A973="","",IFERROR(IF(INDEX(tblKasa[Tarih],ROW($A973)-ROW(tblKasa[[#Headers],[Tarih]])+1)=0,RaporTarihi,INDEX(tblKasa[Tarih],ROW($A973)-ROW(tblKasa[[#Headers],[Tarih]])+1))-$A973,RaporTarihi-$A973))</f>
        <v/>
      </c>
      <c r="E973" s="18" t="n">
        <f aca="false">IF($C973="",0,ROUND($C973*$D973,0))</f>
        <v>0</v>
      </c>
      <c r="F973" s="22"/>
    </row>
    <row r="974" customFormat="false" ht="15" hidden="false" customHeight="false" outlineLevel="0" collapsed="false">
      <c r="A974" s="21"/>
      <c r="B974" s="22"/>
      <c r="C974" s="23"/>
      <c r="D974" s="19" t="str">
        <f aca="false">IF($A974="","",IFERROR(IF(INDEX(tblKasa[Tarih],ROW($A974)-ROW(tblKasa[[#Headers],[Tarih]])+1)=0,RaporTarihi,INDEX(tblKasa[Tarih],ROW($A974)-ROW(tblKasa[[#Headers],[Tarih]])+1))-$A974,RaporTarihi-$A974))</f>
        <v/>
      </c>
      <c r="E974" s="18" t="n">
        <f aca="false">IF($C974="",0,ROUND($C974*$D974,0))</f>
        <v>0</v>
      </c>
      <c r="F974" s="22"/>
    </row>
    <row r="975" customFormat="false" ht="15" hidden="false" customHeight="false" outlineLevel="0" collapsed="false">
      <c r="A975" s="21"/>
      <c r="B975" s="22"/>
      <c r="C975" s="23"/>
      <c r="D975" s="19" t="str">
        <f aca="false">IF($A975="","",IFERROR(IF(INDEX(tblKasa[Tarih],ROW($A975)-ROW(tblKasa[[#Headers],[Tarih]])+1)=0,RaporTarihi,INDEX(tblKasa[Tarih],ROW($A975)-ROW(tblKasa[[#Headers],[Tarih]])+1))-$A975,RaporTarihi-$A975))</f>
        <v/>
      </c>
      <c r="E975" s="18" t="n">
        <f aca="false">IF($C975="",0,ROUND($C975*$D975,0))</f>
        <v>0</v>
      </c>
      <c r="F975" s="22"/>
    </row>
    <row r="976" customFormat="false" ht="15" hidden="false" customHeight="false" outlineLevel="0" collapsed="false">
      <c r="A976" s="21"/>
      <c r="B976" s="22"/>
      <c r="C976" s="23"/>
      <c r="D976" s="19" t="str">
        <f aca="false">IF($A976="","",IFERROR(IF(INDEX(tblKasa[Tarih],ROW($A976)-ROW(tblKasa[[#Headers],[Tarih]])+1)=0,RaporTarihi,INDEX(tblKasa[Tarih],ROW($A976)-ROW(tblKasa[[#Headers],[Tarih]])+1))-$A976,RaporTarihi-$A976))</f>
        <v/>
      </c>
      <c r="E976" s="18" t="n">
        <f aca="false">IF($C976="",0,ROUND($C976*$D976,0))</f>
        <v>0</v>
      </c>
      <c r="F976" s="22"/>
    </row>
    <row r="977" customFormat="false" ht="15" hidden="false" customHeight="false" outlineLevel="0" collapsed="false">
      <c r="A977" s="21"/>
      <c r="B977" s="22"/>
      <c r="C977" s="23"/>
      <c r="D977" s="19" t="str">
        <f aca="false">IF($A977="","",IFERROR(IF(INDEX(tblKasa[Tarih],ROW($A977)-ROW(tblKasa[[#Headers],[Tarih]])+1)=0,RaporTarihi,INDEX(tblKasa[Tarih],ROW($A977)-ROW(tblKasa[[#Headers],[Tarih]])+1))-$A977,RaporTarihi-$A977))</f>
        <v/>
      </c>
      <c r="E977" s="18" t="n">
        <f aca="false">IF($C977="",0,ROUND($C977*$D977,0))</f>
        <v>0</v>
      </c>
      <c r="F977" s="22"/>
    </row>
    <row r="978" customFormat="false" ht="15" hidden="false" customHeight="false" outlineLevel="0" collapsed="false">
      <c r="A978" s="21"/>
      <c r="B978" s="22"/>
      <c r="C978" s="23"/>
      <c r="D978" s="19" t="str">
        <f aca="false">IF($A978="","",IFERROR(IF(INDEX(tblKasa[Tarih],ROW($A978)-ROW(tblKasa[[#Headers],[Tarih]])+1)=0,RaporTarihi,INDEX(tblKasa[Tarih],ROW($A978)-ROW(tblKasa[[#Headers],[Tarih]])+1))-$A978,RaporTarihi-$A978))</f>
        <v/>
      </c>
      <c r="E978" s="18" t="n">
        <f aca="false">IF($C978="",0,ROUND($C978*$D978,0))</f>
        <v>0</v>
      </c>
      <c r="F978" s="22"/>
    </row>
    <row r="979" customFormat="false" ht="15" hidden="false" customHeight="false" outlineLevel="0" collapsed="false">
      <c r="A979" s="21"/>
      <c r="B979" s="22"/>
      <c r="C979" s="23"/>
      <c r="D979" s="19" t="str">
        <f aca="false">IF($A979="","",IFERROR(IF(INDEX(tblKasa[Tarih],ROW($A979)-ROW(tblKasa[[#Headers],[Tarih]])+1)=0,RaporTarihi,INDEX(tblKasa[Tarih],ROW($A979)-ROW(tblKasa[[#Headers],[Tarih]])+1))-$A979,RaporTarihi-$A979))</f>
        <v/>
      </c>
      <c r="E979" s="18" t="n">
        <f aca="false">IF($C979="",0,ROUND($C979*$D979,0))</f>
        <v>0</v>
      </c>
      <c r="F979" s="22"/>
    </row>
    <row r="980" customFormat="false" ht="15" hidden="false" customHeight="false" outlineLevel="0" collapsed="false">
      <c r="A980" s="21"/>
      <c r="B980" s="22"/>
      <c r="C980" s="23"/>
      <c r="D980" s="19" t="str">
        <f aca="false">IF($A980="","",IFERROR(IF(INDEX(tblKasa[Tarih],ROW($A980)-ROW(tblKasa[[#Headers],[Tarih]])+1)=0,RaporTarihi,INDEX(tblKasa[Tarih],ROW($A980)-ROW(tblKasa[[#Headers],[Tarih]])+1))-$A980,RaporTarihi-$A980))</f>
        <v/>
      </c>
      <c r="E980" s="18" t="n">
        <f aca="false">IF($C980="",0,ROUND($C980*$D980,0))</f>
        <v>0</v>
      </c>
      <c r="F980" s="22"/>
    </row>
    <row r="981" customFormat="false" ht="15" hidden="false" customHeight="false" outlineLevel="0" collapsed="false">
      <c r="A981" s="21"/>
      <c r="B981" s="22"/>
      <c r="C981" s="23"/>
      <c r="D981" s="19" t="str">
        <f aca="false">IF($A981="","",IFERROR(IF(INDEX(tblKasa[Tarih],ROW($A981)-ROW(tblKasa[[#Headers],[Tarih]])+1)=0,RaporTarihi,INDEX(tblKasa[Tarih],ROW($A981)-ROW(tblKasa[[#Headers],[Tarih]])+1))-$A981,RaporTarihi-$A981))</f>
        <v/>
      </c>
      <c r="E981" s="18" t="n">
        <f aca="false">IF($C981="",0,ROUND($C981*$D981,0))</f>
        <v>0</v>
      </c>
      <c r="F981" s="22"/>
    </row>
    <row r="982" customFormat="false" ht="15" hidden="false" customHeight="false" outlineLevel="0" collapsed="false">
      <c r="A982" s="21"/>
      <c r="B982" s="22"/>
      <c r="C982" s="23"/>
      <c r="D982" s="19" t="str">
        <f aca="false">IF($A982="","",IFERROR(IF(INDEX(tblKasa[Tarih],ROW($A982)-ROW(tblKasa[[#Headers],[Tarih]])+1)=0,RaporTarihi,INDEX(tblKasa[Tarih],ROW($A982)-ROW(tblKasa[[#Headers],[Tarih]])+1))-$A982,RaporTarihi-$A982))</f>
        <v/>
      </c>
      <c r="E982" s="18" t="n">
        <f aca="false">IF($C982="",0,ROUND($C982*$D982,0))</f>
        <v>0</v>
      </c>
      <c r="F982" s="22"/>
    </row>
    <row r="983" customFormat="false" ht="15" hidden="false" customHeight="false" outlineLevel="0" collapsed="false">
      <c r="A983" s="21"/>
      <c r="B983" s="22"/>
      <c r="C983" s="23"/>
      <c r="D983" s="19" t="str">
        <f aca="false">IF($A983="","",IFERROR(IF(INDEX(tblKasa[Tarih],ROW($A983)-ROW(tblKasa[[#Headers],[Tarih]])+1)=0,RaporTarihi,INDEX(tblKasa[Tarih],ROW($A983)-ROW(tblKasa[[#Headers],[Tarih]])+1))-$A983,RaporTarihi-$A983))</f>
        <v/>
      </c>
      <c r="E983" s="18" t="n">
        <f aca="false">IF($C983="",0,ROUND($C983*$D983,0))</f>
        <v>0</v>
      </c>
      <c r="F983" s="22"/>
    </row>
    <row r="984" customFormat="false" ht="15" hidden="false" customHeight="false" outlineLevel="0" collapsed="false">
      <c r="A984" s="21"/>
      <c r="B984" s="22"/>
      <c r="C984" s="23"/>
      <c r="D984" s="19" t="str">
        <f aca="false">IF($A984="","",IFERROR(IF(INDEX(tblKasa[Tarih],ROW($A984)-ROW(tblKasa[[#Headers],[Tarih]])+1)=0,RaporTarihi,INDEX(tblKasa[Tarih],ROW($A984)-ROW(tblKasa[[#Headers],[Tarih]])+1))-$A984,RaporTarihi-$A984))</f>
        <v/>
      </c>
      <c r="E984" s="18" t="n">
        <f aca="false">IF($C984="",0,ROUND($C984*$D984,0))</f>
        <v>0</v>
      </c>
      <c r="F984" s="22"/>
    </row>
    <row r="985" customFormat="false" ht="15" hidden="false" customHeight="false" outlineLevel="0" collapsed="false">
      <c r="A985" s="21"/>
      <c r="B985" s="22"/>
      <c r="C985" s="23"/>
      <c r="D985" s="19" t="str">
        <f aca="false">IF($A985="","",IFERROR(IF(INDEX(tblKasa[Tarih],ROW($A985)-ROW(tblKasa[[#Headers],[Tarih]])+1)=0,RaporTarihi,INDEX(tblKasa[Tarih],ROW($A985)-ROW(tblKasa[[#Headers],[Tarih]])+1))-$A985,RaporTarihi-$A985))</f>
        <v/>
      </c>
      <c r="E985" s="18" t="n">
        <f aca="false">IF($C985="",0,ROUND($C985*$D985,0))</f>
        <v>0</v>
      </c>
      <c r="F985" s="22"/>
    </row>
    <row r="986" customFormat="false" ht="15" hidden="false" customHeight="false" outlineLevel="0" collapsed="false">
      <c r="A986" s="21"/>
      <c r="B986" s="22"/>
      <c r="C986" s="23"/>
      <c r="D986" s="19" t="str">
        <f aca="false">IF($A986="","",IFERROR(IF(INDEX(tblKasa[Tarih],ROW($A986)-ROW(tblKasa[[#Headers],[Tarih]])+1)=0,RaporTarihi,INDEX(tblKasa[Tarih],ROW($A986)-ROW(tblKasa[[#Headers],[Tarih]])+1))-$A986,RaporTarihi-$A986))</f>
        <v/>
      </c>
      <c r="E986" s="18" t="n">
        <f aca="false">IF($C986="",0,ROUND($C986*$D986,0))</f>
        <v>0</v>
      </c>
      <c r="F986" s="22"/>
    </row>
    <row r="987" customFormat="false" ht="15" hidden="false" customHeight="false" outlineLevel="0" collapsed="false">
      <c r="A987" s="21"/>
      <c r="B987" s="22"/>
      <c r="C987" s="23"/>
      <c r="D987" s="19" t="str">
        <f aca="false">IF($A987="","",IFERROR(IF(INDEX(tblKasa[Tarih],ROW($A987)-ROW(tblKasa[[#Headers],[Tarih]])+1)=0,RaporTarihi,INDEX(tblKasa[Tarih],ROW($A987)-ROW(tblKasa[[#Headers],[Tarih]])+1))-$A987,RaporTarihi-$A987))</f>
        <v/>
      </c>
      <c r="E987" s="18" t="n">
        <f aca="false">IF($C987="",0,ROUND($C987*$D987,0))</f>
        <v>0</v>
      </c>
      <c r="F987" s="22"/>
    </row>
    <row r="988" customFormat="false" ht="15" hidden="false" customHeight="false" outlineLevel="0" collapsed="false">
      <c r="A988" s="21"/>
      <c r="B988" s="22"/>
      <c r="C988" s="23"/>
      <c r="D988" s="19" t="str">
        <f aca="false">IF($A988="","",IFERROR(IF(INDEX(tblKasa[Tarih],ROW($A988)-ROW(tblKasa[[#Headers],[Tarih]])+1)=0,RaporTarihi,INDEX(tblKasa[Tarih],ROW($A988)-ROW(tblKasa[[#Headers],[Tarih]])+1))-$A988,RaporTarihi-$A988))</f>
        <v/>
      </c>
      <c r="E988" s="18" t="n">
        <f aca="false">IF($C988="",0,ROUND($C988*$D988,0))</f>
        <v>0</v>
      </c>
      <c r="F988" s="22"/>
    </row>
    <row r="989" customFormat="false" ht="15" hidden="false" customHeight="false" outlineLevel="0" collapsed="false">
      <c r="A989" s="21"/>
      <c r="B989" s="22"/>
      <c r="C989" s="23"/>
      <c r="D989" s="19" t="str">
        <f aca="false">IF($A989="","",IFERROR(IF(INDEX(tblKasa[Tarih],ROW($A989)-ROW(tblKasa[[#Headers],[Tarih]])+1)=0,RaporTarihi,INDEX(tblKasa[Tarih],ROW($A989)-ROW(tblKasa[[#Headers],[Tarih]])+1))-$A989,RaporTarihi-$A989))</f>
        <v/>
      </c>
      <c r="E989" s="18" t="n">
        <f aca="false">IF($C989="",0,ROUND($C989*$D989,0))</f>
        <v>0</v>
      </c>
      <c r="F989" s="22"/>
    </row>
    <row r="990" customFormat="false" ht="15" hidden="false" customHeight="false" outlineLevel="0" collapsed="false">
      <c r="A990" s="21"/>
      <c r="B990" s="22"/>
      <c r="C990" s="23"/>
      <c r="D990" s="19" t="str">
        <f aca="false">IF($A990="","",IFERROR(IF(INDEX(tblKasa[Tarih],ROW($A990)-ROW(tblKasa[[#Headers],[Tarih]])+1)=0,RaporTarihi,INDEX(tblKasa[Tarih],ROW($A990)-ROW(tblKasa[[#Headers],[Tarih]])+1))-$A990,RaporTarihi-$A990))</f>
        <v/>
      </c>
      <c r="E990" s="18" t="n">
        <f aca="false">IF($C990="",0,ROUND($C990*$D990,0))</f>
        <v>0</v>
      </c>
      <c r="F990" s="22"/>
    </row>
    <row r="991" customFormat="false" ht="15" hidden="false" customHeight="false" outlineLevel="0" collapsed="false">
      <c r="A991" s="21"/>
      <c r="B991" s="22"/>
      <c r="C991" s="23"/>
      <c r="D991" s="19" t="str">
        <f aca="false">IF($A991="","",IFERROR(IF(INDEX(tblKasa[Tarih],ROW($A991)-ROW(tblKasa[[#Headers],[Tarih]])+1)=0,RaporTarihi,INDEX(tblKasa[Tarih],ROW($A991)-ROW(tblKasa[[#Headers],[Tarih]])+1))-$A991,RaporTarihi-$A991))</f>
        <v/>
      </c>
      <c r="E991" s="18" t="n">
        <f aca="false">IF($C991="",0,ROUND($C991*$D991,0))</f>
        <v>0</v>
      </c>
      <c r="F991" s="22"/>
    </row>
    <row r="992" customFormat="false" ht="15" hidden="false" customHeight="false" outlineLevel="0" collapsed="false">
      <c r="A992" s="21"/>
      <c r="B992" s="22"/>
      <c r="C992" s="23"/>
      <c r="D992" s="19" t="str">
        <f aca="false">IF($A992="","",IFERROR(IF(INDEX(tblKasa[Tarih],ROW($A992)-ROW(tblKasa[[#Headers],[Tarih]])+1)=0,RaporTarihi,INDEX(tblKasa[Tarih],ROW($A992)-ROW(tblKasa[[#Headers],[Tarih]])+1))-$A992,RaporTarihi-$A992))</f>
        <v/>
      </c>
      <c r="E992" s="18" t="n">
        <f aca="false">IF($C992="",0,ROUND($C992*$D992,0))</f>
        <v>0</v>
      </c>
      <c r="F992" s="22"/>
    </row>
    <row r="993" customFormat="false" ht="15" hidden="false" customHeight="false" outlineLevel="0" collapsed="false">
      <c r="A993" s="21"/>
      <c r="B993" s="22"/>
      <c r="C993" s="23"/>
      <c r="D993" s="19" t="str">
        <f aca="false">IF($A993="","",IFERROR(IF(INDEX(tblKasa[Tarih],ROW($A993)-ROW(tblKasa[[#Headers],[Tarih]])+1)=0,RaporTarihi,INDEX(tblKasa[Tarih],ROW($A993)-ROW(tblKasa[[#Headers],[Tarih]])+1))-$A993,RaporTarihi-$A993))</f>
        <v/>
      </c>
      <c r="E993" s="18" t="n">
        <f aca="false">IF($C993="",0,ROUND($C993*$D993,0))</f>
        <v>0</v>
      </c>
      <c r="F993" s="22"/>
    </row>
    <row r="994" customFormat="false" ht="15" hidden="false" customHeight="false" outlineLevel="0" collapsed="false">
      <c r="A994" s="21"/>
      <c r="B994" s="22"/>
      <c r="C994" s="23"/>
      <c r="D994" s="19" t="str">
        <f aca="false">IF($A994="","",IFERROR(IF(INDEX(tblKasa[Tarih],ROW($A994)-ROW(tblKasa[[#Headers],[Tarih]])+1)=0,RaporTarihi,INDEX(tblKasa[Tarih],ROW($A994)-ROW(tblKasa[[#Headers],[Tarih]])+1))-$A994,RaporTarihi-$A994))</f>
        <v/>
      </c>
      <c r="E994" s="18" t="n">
        <f aca="false">IF($C994="",0,ROUND($C994*$D994,0))</f>
        <v>0</v>
      </c>
      <c r="F994" s="22"/>
    </row>
    <row r="995" customFormat="false" ht="15" hidden="false" customHeight="false" outlineLevel="0" collapsed="false">
      <c r="A995" s="21"/>
      <c r="B995" s="22"/>
      <c r="C995" s="23"/>
      <c r="D995" s="19" t="str">
        <f aca="false">IF($A995="","",IFERROR(IF(INDEX(tblKasa[Tarih],ROW($A995)-ROW(tblKasa[[#Headers],[Tarih]])+1)=0,RaporTarihi,INDEX(tblKasa[Tarih],ROW($A995)-ROW(tblKasa[[#Headers],[Tarih]])+1))-$A995,RaporTarihi-$A995))</f>
        <v/>
      </c>
      <c r="E995" s="18" t="n">
        <f aca="false">IF($C995="",0,ROUND($C995*$D995,0))</f>
        <v>0</v>
      </c>
      <c r="F995" s="22"/>
    </row>
    <row r="996" customFormat="false" ht="15" hidden="false" customHeight="false" outlineLevel="0" collapsed="false">
      <c r="A996" s="21"/>
      <c r="B996" s="22"/>
      <c r="C996" s="23"/>
      <c r="D996" s="19" t="str">
        <f aca="false">IF($A996="","",IFERROR(IF(INDEX(tblKasa[Tarih],ROW($A996)-ROW(tblKasa[[#Headers],[Tarih]])+1)=0,RaporTarihi,INDEX(tblKasa[Tarih],ROW($A996)-ROW(tblKasa[[#Headers],[Tarih]])+1))-$A996,RaporTarihi-$A996))</f>
        <v/>
      </c>
      <c r="E996" s="18" t="n">
        <f aca="false">IF($C996="",0,ROUND($C996*$D996,0))</f>
        <v>0</v>
      </c>
      <c r="F996" s="22"/>
    </row>
    <row r="997" customFormat="false" ht="15" hidden="false" customHeight="false" outlineLevel="0" collapsed="false">
      <c r="A997" s="21"/>
      <c r="B997" s="22"/>
      <c r="C997" s="23"/>
      <c r="D997" s="19" t="str">
        <f aca="false">IF($A997="","",IFERROR(IF(INDEX(tblKasa[Tarih],ROW($A997)-ROW(tblKasa[[#Headers],[Tarih]])+1)=0,RaporTarihi,INDEX(tblKasa[Tarih],ROW($A997)-ROW(tblKasa[[#Headers],[Tarih]])+1))-$A997,RaporTarihi-$A997))</f>
        <v/>
      </c>
      <c r="E997" s="18" t="n">
        <f aca="false">IF($C997="",0,ROUND($C997*$D997,0))</f>
        <v>0</v>
      </c>
      <c r="F997" s="22"/>
    </row>
    <row r="998" customFormat="false" ht="15" hidden="false" customHeight="false" outlineLevel="0" collapsed="false">
      <c r="A998" s="21"/>
      <c r="B998" s="22"/>
      <c r="C998" s="23"/>
      <c r="D998" s="19" t="str">
        <f aca="false">IF($A998="","",IFERROR(IF(INDEX(tblKasa[Tarih],ROW($A998)-ROW(tblKasa[[#Headers],[Tarih]])+1)=0,RaporTarihi,INDEX(tblKasa[Tarih],ROW($A998)-ROW(tblKasa[[#Headers],[Tarih]])+1))-$A998,RaporTarihi-$A998))</f>
        <v/>
      </c>
      <c r="E998" s="18" t="n">
        <f aca="false">IF($C998="",0,ROUND($C998*$D998,0))</f>
        <v>0</v>
      </c>
      <c r="F998" s="22"/>
    </row>
    <row r="999" customFormat="false" ht="15" hidden="false" customHeight="false" outlineLevel="0" collapsed="false">
      <c r="A999" s="21"/>
      <c r="B999" s="22"/>
      <c r="C999" s="23"/>
      <c r="D999" s="19" t="str">
        <f aca="false">IF($A999="","",IFERROR(IF(INDEX(tblKasa[Tarih],ROW($A999)-ROW(tblKasa[[#Headers],[Tarih]])+1)=0,RaporTarihi,INDEX(tblKasa[Tarih],ROW($A999)-ROW(tblKasa[[#Headers],[Tarih]])+1))-$A999,RaporTarihi-$A999))</f>
        <v/>
      </c>
      <c r="E999" s="18" t="n">
        <f aca="false">IF($C999="",0,ROUND($C999*$D999,0))</f>
        <v>0</v>
      </c>
      <c r="F999" s="22"/>
    </row>
    <row r="1000" customFormat="false" ht="15" hidden="false" customHeight="false" outlineLevel="0" collapsed="false">
      <c r="A1000" s="21"/>
      <c r="B1000" s="22"/>
      <c r="C1000" s="23"/>
      <c r="D1000" s="19" t="str">
        <f aca="false">IF($A1000="","",IFERROR(IF(INDEX(tblKasa[Tarih],ROW($A1000)-ROW(tblKasa[[#Headers],[Tarih]])+1)=0,RaporTarihi,INDEX(tblKasa[Tarih],ROW($A1000)-ROW(tblKasa[[#Headers],[Tarih]])+1))-$A1000,RaporTarihi-$A1000))</f>
        <v/>
      </c>
      <c r="E1000" s="18" t="n">
        <f aca="false">IF($C1000="",0,ROUND($C1000*$D1000,0))</f>
        <v>0</v>
      </c>
      <c r="F1000" s="22"/>
    </row>
    <row r="1001" customFormat="false" ht="15" hidden="false" customHeight="false" outlineLevel="0" collapsed="false">
      <c r="A1001" s="21"/>
      <c r="B1001" s="22"/>
      <c r="C1001" s="23"/>
      <c r="D1001" s="19" t="str">
        <f aca="false">IF($A1001="","",IFERROR(IF(INDEX(tblKasa[Tarih],ROW($A1001)-ROW(tblKasa[[#Headers],[Tarih]])+1)=0,RaporTarihi,INDEX(tblKasa[Tarih],ROW($A1001)-ROW(tblKasa[[#Headers],[Tarih]])+1))-$A1001,RaporTarihi-$A1001))</f>
        <v/>
      </c>
      <c r="E1001" s="18" t="n">
        <f aca="false">IF($C1001="",0,ROUND($C1001*$D1001,0))</f>
        <v>0</v>
      </c>
      <c r="F1001" s="22"/>
    </row>
    <row r="1002" customFormat="false" ht="15" hidden="false" customHeight="false" outlineLevel="0" collapsed="false">
      <c r="A1002" s="21"/>
      <c r="B1002" s="22"/>
      <c r="C1002" s="23"/>
      <c r="D1002" s="19" t="str">
        <f aca="false">IF($A1002="","",IFERROR(IF(INDEX(tblKasa[Tarih],ROW($A1002)-ROW(tblKasa[[#Headers],[Tarih]])+1)=0,RaporTarihi,INDEX(tblKasa[Tarih],ROW($A1002)-ROW(tblKasa[[#Headers],[Tarih]])+1))-$A1002,RaporTarihi-$A1002))</f>
        <v/>
      </c>
      <c r="E1002" s="18" t="n">
        <f aca="false">IF($C1002="",0,ROUND($C1002*$D1002,0))</f>
        <v>0</v>
      </c>
      <c r="F1002" s="22"/>
    </row>
    <row r="1003" customFormat="false" ht="15" hidden="false" customHeight="false" outlineLevel="0" collapsed="false">
      <c r="A1003" s="21"/>
      <c r="B1003" s="22"/>
      <c r="C1003" s="23"/>
      <c r="D1003" s="19" t="str">
        <f aca="false">IF($A1003="","",IFERROR(IF(INDEX(tblKasa[Tarih],ROW($A1003)-ROW(tblKasa[[#Headers],[Tarih]])+1)=0,RaporTarihi,INDEX(tblKasa[Tarih],ROW($A1003)-ROW(tblKasa[[#Headers],[Tarih]])+1))-$A1003,RaporTarihi-$A1003))</f>
        <v/>
      </c>
      <c r="E1003" s="18" t="n">
        <f aca="false">IF($C1003="",0,ROUND($C1003*$D1003,0))</f>
        <v>0</v>
      </c>
      <c r="F1003" s="22"/>
    </row>
    <row r="1004" customFormat="false" ht="15" hidden="false" customHeight="false" outlineLevel="0" collapsed="false">
      <c r="A1004" s="22"/>
      <c r="B1004" s="22"/>
      <c r="C1004" s="22"/>
      <c r="D1004" s="20" t="str">
        <f aca="false">IF($A1004="","",IFERROR(IF(INDEX(tblKasa[Tarih],ROW($A1004)-ROW(tblKasa[[#Headers],[Tarih]])+1)=0,RaporTarihi,INDEX(tblKasa[Tarih],ROW($A1004)-ROW(tblKasa[[#Headers],[Tarih]])+1))-$A1004,RaporTarihi-$A1004))</f>
        <v/>
      </c>
      <c r="E1004" s="20" t="n">
        <f aca="false">IF($C1004="",0,ROUND($C1004*$D1004,0))</f>
        <v>0</v>
      </c>
      <c r="F1004" s="22"/>
    </row>
    <row r="1006" customFormat="false" ht="19.5" hidden="false" customHeight="true" outlineLevel="0" collapsed="false">
      <c r="A1006" s="24" t="s">
        <v>52</v>
      </c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11">
      <formula>0</formula>
    </cfRule>
  </conditionalFormatting>
  <conditionalFormatting sqref="E6:E1004">
    <cfRule type="cellIs" priority="3" operator="lessThan" aboveAverage="0" equalAverage="0" bottom="0" percent="0" rank="0" text="" dxfId="11">
      <formula>0</formula>
    </cfRule>
    <cfRule type="cellIs" priority="4" operator="greaterThan" aboveAverage="0" equalAverage="0" bottom="0" percent="0" rank="0" text="" dxfId="13">
      <formula>0</formula>
    </cfRule>
  </conditionalFormatting>
  <dataValidations count="2">
    <dataValidation allowBlank="true" error="Tarih 01.01.2024 - 31.12.2027 aralığında olmalı." errorStyle="stop" errorTitle="Geçersiz tarih" operator="between" prompt="GG.AA.YYYY biçiminde tarih girin." promptTitle="Tarih" showDropDown="false" showErrorMessage="true" showInputMessage="true" sqref="A6:A1004" type="date">
      <formula1>01.01.2024</formula1>
      <formula2>31.12.2027</formula2>
    </dataValidation>
    <dataValidation allowBlank="true" error="0 ile 100.000.000.000 arasında olmalı." errorStyle="stop" errorTitle="Geçersiz bakiye" operator="between" prompt="Gün sonu kasa bakiyesini TL olarak girin." promptTitle="Bakiye" showDropDown="false" showErrorMessage="true" showInputMessage="true" sqref="C6:C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66</v>
      </c>
    </row>
    <row r="4" customFormat="false" ht="41.75" hidden="false" customHeight="false" outlineLevel="0" collapsed="false">
      <c r="A4" s="13" t="s">
        <v>67</v>
      </c>
    </row>
    <row r="6" customFormat="false" ht="15" hidden="false" customHeight="false" outlineLevel="0" collapsed="false">
      <c r="A6" s="25" t="s">
        <v>68</v>
      </c>
    </row>
    <row r="7" customFormat="false" ht="30" hidden="false" customHeight="true" outlineLevel="0" collapsed="false">
      <c r="A7" s="14" t="s">
        <v>69</v>
      </c>
      <c r="B7" s="14" t="s">
        <v>70</v>
      </c>
      <c r="C7" s="14" t="s">
        <v>71</v>
      </c>
      <c r="D7" s="14" t="s">
        <v>72</v>
      </c>
      <c r="E7" s="14" t="s">
        <v>73</v>
      </c>
    </row>
    <row r="8" customFormat="false" ht="15" hidden="false" customHeight="false" outlineLevel="0" collapsed="false">
      <c r="A8" s="26" t="str">
        <f aca="false">IF(LISTELER!A8="","",LISTELER!A8)</f>
        <v>Ayşe Demir</v>
      </c>
      <c r="B8" s="27" t="n">
        <f aca="false">IF(A8="","",ROUND(SUMIFS(tblOrtak[İşaretli Tutar],tblOrtak[Ortak Adı],A8),2))</f>
        <v>250000</v>
      </c>
      <c r="C8" s="27" t="n">
        <f aca="false">IF(A8="","",ROUND(SUMIFS(tblOrtak[Adat (₺·gün)],tblOrtak[Ortak Adı],A8),0))</f>
        <v>5900000</v>
      </c>
      <c r="D8" s="27" t="n">
        <f aca="false">IF(A8="","",ROUND(C8*AdatFaizOran/AdatYilGunSayisi,2))</f>
        <v>30.71</v>
      </c>
      <c r="E8" s="28" t="n">
        <f aca="false">IF($C$18=0,0,IF(A8="","",C8/$C$18))</f>
        <v>0.634408602150538</v>
      </c>
    </row>
    <row r="9" customFormat="false" ht="15" hidden="false" customHeight="false" outlineLevel="0" collapsed="false">
      <c r="A9" s="26" t="str">
        <f aca="false">IF(LISTELER!A9="","",LISTELER!A9)</f>
        <v>Mehmet Kaya</v>
      </c>
      <c r="B9" s="27" t="n">
        <f aca="false">IF(A9="","",ROUND(SUMIFS(tblOrtak[İşaretli Tutar],tblOrtak[Ortak Adı],A9),2))</f>
        <v>200000</v>
      </c>
      <c r="C9" s="27" t="n">
        <f aca="false">IF(A9="","",ROUND(SUMIFS(tblOrtak[Adat (₺·gün)],tblOrtak[Ortak Adı],A9),0))</f>
        <v>3400000</v>
      </c>
      <c r="D9" s="27" t="n">
        <f aca="false">IF(A9="","",ROUND(C9*AdatFaizOran/AdatYilGunSayisi,2))</f>
        <v>17.7</v>
      </c>
      <c r="E9" s="28" t="n">
        <f aca="false">IF($C$18=0,0,IF(A9="","",C9/$C$18))</f>
        <v>0.365591397849462</v>
      </c>
    </row>
    <row r="10" customFormat="false" ht="15" hidden="false" customHeight="false" outlineLevel="0" collapsed="false">
      <c r="A10" s="26" t="str">
        <f aca="false">IF(LISTELER!A10="","",LISTELER!A10)</f>
        <v>Zeynep Şahin</v>
      </c>
      <c r="B10" s="27" t="n">
        <f aca="false">IF(A10="","",ROUND(SUMIFS(tblOrtak[İşaretli Tutar],tblOrtak[Ortak Adı],A10),2))</f>
        <v>0</v>
      </c>
      <c r="C10" s="27" t="n">
        <f aca="false">IF(A10="","",ROUND(SUMIFS(tblOrtak[Adat (₺·gün)],tblOrtak[Ortak Adı],A10),0))</f>
        <v>0</v>
      </c>
      <c r="D10" s="27" t="n">
        <f aca="false">IF(A10="","",ROUND(C10*AdatFaizOran/AdatYilGunSayisi,2))</f>
        <v>0</v>
      </c>
      <c r="E10" s="28" t="n">
        <f aca="false">IF($C$18=0,0,IF(A10="","",C10/$C$18))</f>
        <v>0</v>
      </c>
    </row>
    <row r="11" customFormat="false" ht="15" hidden="false" customHeight="false" outlineLevel="0" collapsed="false">
      <c r="A11" s="26" t="str">
        <f aca="false">IF(LISTELER!A11="","",LISTELER!A11)</f>
        <v>Ali Öztürk</v>
      </c>
      <c r="B11" s="27" t="n">
        <f aca="false">IF(A11="","",ROUND(SUMIFS(tblOrtak[İşaretli Tutar],tblOrtak[Ortak Adı],A11),2))</f>
        <v>0</v>
      </c>
      <c r="C11" s="27" t="n">
        <f aca="false">IF(A11="","",ROUND(SUMIFS(tblOrtak[Adat (₺·gün)],tblOrtak[Ortak Adı],A11),0))</f>
        <v>0</v>
      </c>
      <c r="D11" s="27" t="n">
        <f aca="false">IF(A11="","",ROUND(C11*AdatFaizOran/AdatYilGunSayisi,2))</f>
        <v>0</v>
      </c>
      <c r="E11" s="28" t="n">
        <f aca="false">IF($C$18=0,0,IF(A11="","",C11/$C$18))</f>
        <v>0</v>
      </c>
    </row>
    <row r="12" customFormat="false" ht="15" hidden="false" customHeight="false" outlineLevel="0" collapsed="false">
      <c r="A12" s="26" t="str">
        <f aca="false">IF(LISTELER!A12="","",LISTELER!A12)</f>
        <v>Fatma Çelik</v>
      </c>
      <c r="B12" s="27" t="n">
        <f aca="false">IF(A12="","",ROUND(SUMIFS(tblOrtak[İşaretli Tutar],tblOrtak[Ortak Adı],A12),2))</f>
        <v>0</v>
      </c>
      <c r="C12" s="27" t="n">
        <f aca="false">IF(A12="","",ROUND(SUMIFS(tblOrtak[Adat (₺·gün)],tblOrtak[Ortak Adı],A12),0))</f>
        <v>0</v>
      </c>
      <c r="D12" s="27" t="n">
        <f aca="false">IF(A12="","",ROUND(C12*AdatFaizOran/AdatYilGunSayisi,2))</f>
        <v>0</v>
      </c>
      <c r="E12" s="28" t="n">
        <f aca="false">IF($C$18=0,0,IF(A12="","",C12/$C$18))</f>
        <v>0</v>
      </c>
    </row>
    <row r="13" customFormat="false" ht="15" hidden="false" customHeight="false" outlineLevel="0" collapsed="false">
      <c r="A13" s="26" t="str">
        <f aca="false">IF(LISTELER!A13="","",LISTELER!A13)</f>
        <v>Murat Aydın</v>
      </c>
      <c r="B13" s="27" t="n">
        <f aca="false">IF(A13="","",ROUND(SUMIFS(tblOrtak[İşaretli Tutar],tblOrtak[Ortak Adı],A13),2))</f>
        <v>0</v>
      </c>
      <c r="C13" s="27" t="n">
        <f aca="false">IF(A13="","",ROUND(SUMIFS(tblOrtak[Adat (₺·gün)],tblOrtak[Ortak Adı],A13),0))</f>
        <v>0</v>
      </c>
      <c r="D13" s="27" t="n">
        <f aca="false">IF(A13="","",ROUND(C13*AdatFaizOran/AdatYilGunSayisi,2))</f>
        <v>0</v>
      </c>
      <c r="E13" s="28" t="n">
        <f aca="false">IF($C$18=0,0,IF(A13="","",C13/$C$18))</f>
        <v>0</v>
      </c>
    </row>
    <row r="14" customFormat="false" ht="15" hidden="false" customHeight="false" outlineLevel="0" collapsed="false">
      <c r="A14" s="26" t="str">
        <f aca="false">IF(LISTELER!A14="","",LISTELER!A14)</f>
        <v>Elif Arslan</v>
      </c>
      <c r="B14" s="27" t="n">
        <f aca="false">IF(A14="","",ROUND(SUMIFS(tblOrtak[İşaretli Tutar],tblOrtak[Ortak Adı],A14),2))</f>
        <v>0</v>
      </c>
      <c r="C14" s="27" t="n">
        <f aca="false">IF(A14="","",ROUND(SUMIFS(tblOrtak[Adat (₺·gün)],tblOrtak[Ortak Adı],A14),0))</f>
        <v>0</v>
      </c>
      <c r="D14" s="27" t="n">
        <f aca="false">IF(A14="","",ROUND(C14*AdatFaizOran/AdatYilGunSayisi,2))</f>
        <v>0</v>
      </c>
      <c r="E14" s="28" t="n">
        <f aca="false">IF($C$18=0,0,IF(A14="","",C14/$C$18))</f>
        <v>0</v>
      </c>
    </row>
    <row r="15" customFormat="false" ht="15" hidden="false" customHeight="false" outlineLevel="0" collapsed="false">
      <c r="A15" s="26" t="str">
        <f aca="false">IF(LISTELER!A15="","",LISTELER!A15)</f>
        <v>Mustafa Kılıç</v>
      </c>
      <c r="B15" s="27" t="n">
        <f aca="false">IF(A15="","",ROUND(SUMIFS(tblOrtak[İşaretli Tutar],tblOrtak[Ortak Adı],A15),2))</f>
        <v>0</v>
      </c>
      <c r="C15" s="27" t="n">
        <f aca="false">IF(A15="","",ROUND(SUMIFS(tblOrtak[Adat (₺·gün)],tblOrtak[Ortak Adı],A15),0))</f>
        <v>0</v>
      </c>
      <c r="D15" s="27" t="n">
        <f aca="false">IF(A15="","",ROUND(C15*AdatFaizOran/AdatYilGunSayisi,2))</f>
        <v>0</v>
      </c>
      <c r="E15" s="28" t="n">
        <f aca="false">IF($C$18=0,0,IF(A15="","",C15/$C$18))</f>
        <v>0</v>
      </c>
    </row>
    <row r="16" customFormat="false" ht="15" hidden="false" customHeight="false" outlineLevel="0" collapsed="false">
      <c r="A16" s="26" t="str">
        <f aca="false">IF(LISTELER!A16="","",LISTELER!A16)</f>
        <v>Hüseyin Doğan</v>
      </c>
      <c r="B16" s="27" t="n">
        <f aca="false">IF(A16="","",ROUND(SUMIFS(tblOrtak[İşaretli Tutar],tblOrtak[Ortak Adı],A16),2))</f>
        <v>0</v>
      </c>
      <c r="C16" s="27" t="n">
        <f aca="false">IF(A16="","",ROUND(SUMIFS(tblOrtak[Adat (₺·gün)],tblOrtak[Ortak Adı],A16),0))</f>
        <v>0</v>
      </c>
      <c r="D16" s="27" t="n">
        <f aca="false">IF(A16="","",ROUND(C16*AdatFaizOran/AdatYilGunSayisi,2))</f>
        <v>0</v>
      </c>
      <c r="E16" s="28" t="n">
        <f aca="false">IF($C$18=0,0,IF(A16="","",C16/$C$18))</f>
        <v>0</v>
      </c>
    </row>
    <row r="17" customFormat="false" ht="15" hidden="false" customHeight="false" outlineLevel="0" collapsed="false">
      <c r="A17" s="26" t="str">
        <f aca="false">IF(LISTELER!A17="","",LISTELER!A17)</f>
        <v/>
      </c>
      <c r="B17" s="27" t="str">
        <f aca="false">IF(A17="","",ROUND(SUMIFS(tblOrtak[İşaretli Tutar],tblOrtak[Ortak Adı],A17),2))</f>
        <v/>
      </c>
      <c r="C17" s="27" t="str">
        <f aca="false">IF(A17="","",ROUND(SUMIFS(tblOrtak[Adat (₺·gün)],tblOrtak[Ortak Adı],A17),0))</f>
        <v/>
      </c>
      <c r="D17" s="27" t="str">
        <f aca="false">IF(A17="","",ROUND(C17*AdatFaizOran/AdatYilGunSayisi,2))</f>
        <v/>
      </c>
      <c r="E17" s="28" t="str">
        <f aca="false">IF($C$18=0,0,IF(A17="","",C17/$C$18))</f>
        <v/>
      </c>
    </row>
    <row r="18" customFormat="false" ht="15" hidden="false" customHeight="false" outlineLevel="0" collapsed="false">
      <c r="A18" s="29" t="s">
        <v>74</v>
      </c>
      <c r="B18" s="30" t="n">
        <f aca="false">SUM(B8:B17)</f>
        <v>450000</v>
      </c>
      <c r="C18" s="30" t="n">
        <f aca="false">SUM(C8:C17)</f>
        <v>9300000</v>
      </c>
      <c r="D18" s="30" t="n">
        <f aca="false">SUM(D8:D17)</f>
        <v>48.41</v>
      </c>
      <c r="E18" s="31" t="n">
        <f aca="false">SUM(E8:E17)</f>
        <v>1</v>
      </c>
    </row>
    <row r="20" customFormat="false" ht="15" hidden="false" customHeight="false" outlineLevel="0" collapsed="false">
      <c r="A20" s="29" t="s">
        <v>75</v>
      </c>
      <c r="B20" s="30" t="n">
        <f aca="false">B18</f>
        <v>450000</v>
      </c>
    </row>
    <row r="21" customFormat="false" ht="15" hidden="false" customHeight="false" outlineLevel="0" collapsed="false">
      <c r="A21" s="29" t="s">
        <v>76</v>
      </c>
      <c r="B21" s="27" t="n">
        <f aca="false">C18</f>
        <v>9300000</v>
      </c>
    </row>
    <row r="22" customFormat="false" ht="15" hidden="false" customHeight="false" outlineLevel="0" collapsed="false">
      <c r="A22" s="29" t="s">
        <v>77</v>
      </c>
      <c r="B22" s="27" t="n">
        <f aca="false">D18</f>
        <v>48.41</v>
      </c>
    </row>
    <row r="23" customFormat="false" ht="15" hidden="false" customHeight="false" outlineLevel="0" collapsed="false">
      <c r="A23" s="29" t="s">
        <v>78</v>
      </c>
      <c r="B23" s="27" t="n">
        <f aca="false">IFERROR(SUM(tblKasa[Adat (₺·gün)]),0)</f>
        <v>22830000</v>
      </c>
    </row>
    <row r="24" customFormat="false" ht="15" hidden="false" customHeight="false" outlineLevel="0" collapsed="false">
      <c r="A24" s="29" t="s">
        <v>79</v>
      </c>
      <c r="B24" s="27" t="n">
        <f aca="false">ROUND(B23*AdatFaizOran/AdatYilGunSayisi,2)</f>
        <v>118.84</v>
      </c>
    </row>
    <row r="25" customFormat="false" ht="15" hidden="false" customHeight="false" outlineLevel="0" collapsed="false">
      <c r="A25" s="29" t="s">
        <v>80</v>
      </c>
      <c r="B25" s="30" t="n">
        <f aca="false">B22+B24</f>
        <v>167.25</v>
      </c>
    </row>
    <row r="26" customFormat="false" ht="15" hidden="false" customHeight="false" outlineLevel="0" collapsed="false">
      <c r="A26" s="29" t="s">
        <v>81</v>
      </c>
      <c r="B26" s="30" t="n">
        <f aca="false">ROUND(B25,2)</f>
        <v>167.25</v>
      </c>
    </row>
    <row r="27" customFormat="false" ht="15" hidden="false" customHeight="false" outlineLevel="0" collapsed="false">
      <c r="A27" s="29" t="s">
        <v>82</v>
      </c>
      <c r="B27" s="27" t="n">
        <f aca="false">IF(B20&lt;0,ROUND(-B20,2),0)</f>
        <v>0</v>
      </c>
    </row>
    <row r="28" customFormat="false" ht="15" hidden="false" customHeight="false" outlineLevel="0" collapsed="false">
      <c r="A28" s="29" t="s">
        <v>83</v>
      </c>
      <c r="B28" s="28" t="n">
        <f aca="false">IF(AdatOzKaynak=0,0,B27/AdatOzKaynak)</f>
        <v>0</v>
      </c>
    </row>
    <row r="29" customFormat="false" ht="15" hidden="false" customHeight="false" outlineLevel="0" collapsed="false">
      <c r="A29" s="29" t="s">
        <v>84</v>
      </c>
      <c r="B29" s="27" t="n">
        <f aca="false">IF(B30=0,0,ROUND(C18/B30,2))</f>
        <v>43255.81</v>
      </c>
    </row>
    <row r="30" customFormat="false" ht="15" hidden="false" customHeight="false" outlineLevel="0" collapsed="false">
      <c r="A30" s="29" t="s">
        <v>85</v>
      </c>
      <c r="B30" s="32" t="n">
        <f aca="false">IFERROR(SUM(tblOrtak[Gün Sayısı]),0)</f>
        <v>215</v>
      </c>
    </row>
    <row r="32" customFormat="false" ht="19.5" hidden="false" customHeight="true" outlineLevel="0" collapsed="false">
      <c r="A32" s="24" t="s">
        <v>86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</sheetData>
  <sheetProtection sheet="true" password="cc3d" objects="true" scenarios="true" deleteColumns="false" deleteRows="false"/>
  <mergeCells count="2">
    <mergeCell ref="A1:AD1"/>
    <mergeCell ref="A32:AN32"/>
  </mergeCells>
  <conditionalFormatting sqref="B8:B18">
    <cfRule type="cellIs" priority="2" operator="lessThan" aboveAverage="0" equalAverage="0" bottom="0" percent="0" rank="0" text="" dxfId="11">
      <formula>0</formula>
    </cfRule>
  </conditionalFormatting>
  <conditionalFormatting sqref="C8:C18">
    <cfRule type="cellIs" priority="3" operator="lessThan" aboveAverage="0" equalAverage="0" bottom="0" percent="0" rank="0" text="" dxfId="11">
      <formula>0</formula>
    </cfRule>
  </conditionalFormatting>
  <conditionalFormatting sqref="D8:D18">
    <cfRule type="cellIs" priority="4" operator="lessThan" aboveAverage="0" equalAverage="0" bottom="0" percent="0" rank="0" text="" dxfId="11">
      <formula>0</formula>
    </cfRule>
  </conditionalFormatting>
  <conditionalFormatting sqref="B20">
    <cfRule type="cellIs" priority="5" operator="lessThan" aboveAverage="0" equalAverage="0" bottom="0" percent="0" rank="0" text="" dxfId="11">
      <formula>0</formula>
    </cfRule>
  </conditionalFormatting>
  <conditionalFormatting sqref="B25">
    <cfRule type="cellIs" priority="6" operator="greaterThan" aboveAverage="0" equalAverage="0" bottom="0" percent="0" rank="0" text="" dxfId="14">
      <formula>250000</formula>
    </cfRule>
  </conditionalFormatting>
  <conditionalFormatting sqref="B28">
    <cfRule type="cellIs" priority="7" operator="greaterThan" aboveAverage="0" equalAverage="0" bottom="0" percent="0" rank="0" text="" dxfId="11">
      <formula>0.3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3" t="s">
        <v>88</v>
      </c>
      <c r="B3" s="33"/>
      <c r="C3" s="33"/>
      <c r="D3" s="33"/>
    </row>
    <row r="5" customFormat="false" ht="30" hidden="false" customHeight="true" outlineLevel="0" collapsed="false">
      <c r="A5" s="14" t="s">
        <v>89</v>
      </c>
      <c r="B5" s="14" t="s">
        <v>90</v>
      </c>
      <c r="C5" s="14" t="s">
        <v>91</v>
      </c>
      <c r="D5" s="14" t="s">
        <v>92</v>
      </c>
    </row>
    <row r="6" customFormat="false" ht="30" hidden="false" customHeight="true" outlineLevel="0" collapsed="false">
      <c r="A6" s="34" t="s">
        <v>93</v>
      </c>
      <c r="B6" s="35" t="s">
        <v>94</v>
      </c>
      <c r="C6" s="26" t="n">
        <f aca="false">IFERROR(IF(INDEX(tblOrtak[Bakiye (₺)],COUNTA(tblOrtak[Ortak Adı]))=0,0,INDEX(tblOrtak[Bakiye (₺)],COUNTA(tblOrtak[Ortak Adı]))/HESAP!$B$8-1),0)</f>
        <v>-0.4</v>
      </c>
      <c r="D6" s="36" t="str">
        <f aca="false">_xlfn.TEXTJOIN("; ",TRUE(),"Dönem sonu net bakiye ",TEXT(INDEX(tblOrtak[Bakiye (₺)],COUNTA(tblOrtak[Ortak Adı])),"₺ #,##0")," TL — bakiyenin dönem boyunca yönü izlenir")</f>
        <v>Dönem sonu net bakiye ; ₺ 150000,000;  TL — bakiyenin dönem boyunca yönü izlenir</v>
      </c>
    </row>
    <row r="7" customFormat="false" ht="30" hidden="false" customHeight="true" outlineLevel="0" collapsed="false">
      <c r="A7" s="34" t="s">
        <v>95</v>
      </c>
      <c r="B7" s="35" t="s">
        <v>96</v>
      </c>
      <c r="C7" s="26" t="n">
        <f aca="false">IFERROR(AVERAGE(INDEX(tblOrtak[Adat (₺·gün)],MAX(1,COUNTA(tblOrtak[Ortak Adı])-2)):INDEX(tblOrtak[Adat (₺·gün)],COUNTA(tblOrtak[Ortak Adı]))),0)</f>
        <v>7900000</v>
      </c>
      <c r="D7" s="36" t="str">
        <f aca="false">_xlfn.TEXTJOIN("; ",TRUE(),"Son üç işlemin ortalama adatı ",TEXT(C7,"₺ #,##0")," — trend adatın arttığını/azaldığını gösterir")</f>
        <v>Son üç işlemin ortalama adatı ; ₺ 7900000,000;  — trend adatın arttığını/azaldığını gösterir</v>
      </c>
    </row>
    <row r="8" customFormat="false" ht="30" hidden="false" customHeight="true" outlineLevel="0" collapsed="false">
      <c r="A8" s="34" t="s">
        <v>97</v>
      </c>
      <c r="B8" s="35" t="s">
        <v>98</v>
      </c>
      <c r="C8" s="26" t="n">
        <f aca="false">IFERROR(HESAP!$B$23/MAX(1,COUNTA(tblKasa[Not]))-INDEX(tblKasa[Gün Sonu Bakiye (₺)],1),0)</f>
        <v>3720000</v>
      </c>
      <c r="D8" s="36" t="str">
        <f aca="false">_xlfn.TEXTJOIN("; ",TRUE(),"Kasa ortalama bakiyesi ile ilk kayıt farkı ",TEXT(C8,"₺ #,##0")," — kasa seviyesindeki eğilimi gösterir")</f>
        <v>Kasa ortalama bakiyesi ile ilk kayıt farkı ; ₺ 3720000,000;  — kasa seviyesindeki eğilimi gösterir</v>
      </c>
    </row>
    <row r="9" customFormat="false" ht="30" hidden="false" customHeight="true" outlineLevel="0" collapsed="false">
      <c r="A9" s="34" t="s">
        <v>99</v>
      </c>
      <c r="B9" s="35" t="s">
        <v>100</v>
      </c>
      <c r="C9" s="26" t="n">
        <f aca="false">IFERROR(stdev.p(tblOrtak[Adat (₺·gün)]),0)</f>
        <v>0</v>
      </c>
      <c r="D9" s="36" t="str">
        <f aca="false">_xlfn.TEXTJOIN("; ",TRUE(),"İşlem adatlarının standart sapması ",TEXT(C9,"₺ #,##0")," — sapma yüksekse işlem dengesi bozuktur")</f>
        <v>İşlem adatlarının standart sapması ; ₺ ,000;  — sapma yüksekse işlem dengesi bozuktur</v>
      </c>
    </row>
    <row r="10" customFormat="false" ht="30" hidden="false" customHeight="true" outlineLevel="0" collapsed="false">
      <c r="A10" s="34" t="s">
        <v>101</v>
      </c>
      <c r="B10" s="35" t="s">
        <v>102</v>
      </c>
      <c r="C10" s="26" t="n">
        <f aca="false">MAX(SENARYO_DUYARLILIK!B12:B13)</f>
        <v>1.67</v>
      </c>
      <c r="D10" s="36" t="str">
        <f aca="false">_xlfn.TEXTJOIN("; ",TRUE(),"Faiz tutarını en çok etkileyen değişkenin etkisi ",TEXT(C10,"₺ #,##0")," TL — öncelik bu değişkenin izlenmesinde")</f>
        <v>Faiz tutarını en çok etkileyen değişkenin etkisi ; ₺ 1,670;  TL — öncelik bu değişkenin izlenmesinde</v>
      </c>
    </row>
    <row r="11" customFormat="false" ht="30" hidden="false" customHeight="true" outlineLevel="0" collapsed="false">
      <c r="A11" s="34" t="s">
        <v>103</v>
      </c>
      <c r="B11" s="35" t="s">
        <v>104</v>
      </c>
      <c r="C11" s="26" t="n">
        <f aca="false">SENARYO_DUYARLILIK!C7-SENARYO_DUYARLILIK!C9</f>
        <v>33.45</v>
      </c>
      <c r="D11" s="36" t="str">
        <f aca="false">_xlfn.TEXTJOIN("; ",TRUE(),"İyimser ile kötümser senaryo faiz farkı ",TEXT(C11,"₺ #,##0")," TL — belirsizlik aralığını gösterir")</f>
        <v>İyimser ile kötümser senaryo faiz farkı ; ₺ 33,450;  TL — belirsizlik aralığını gösterir</v>
      </c>
    </row>
    <row r="12" customFormat="false" ht="30" hidden="false" customHeight="true" outlineLevel="0" collapsed="false">
      <c r="A12" s="34" t="s">
        <v>105</v>
      </c>
      <c r="B12" s="35" t="s">
        <v>106</v>
      </c>
      <c r="C12" s="26" t="n">
        <f aca="false">IFERROR(SUMPRODUCT((HESAP!$C$8:$C$17/SUM(HESAP!$C$8:$C$17))^2),0)</f>
        <v>0</v>
      </c>
      <c r="D12" s="36" t="str">
        <f aca="false">_xlfn.TEXTJOIN("; ",TRUE(),"Ortak adat yoğunlaşma endeksi ",TEXT(C12,"0.000")," — 1 e yaklaştıkça adat tek ortakta toplanır")</f>
        <v>Ortak adat yoğunlaşma endeksi ; 0.000;  — 1 e yaklaştıkça adat tek ortakta toplanır</v>
      </c>
    </row>
    <row r="13" customFormat="false" ht="30" hidden="false" customHeight="true" outlineLevel="0" collapsed="false">
      <c r="A13" s="34" t="s">
        <v>107</v>
      </c>
      <c r="B13" s="35" t="s">
        <v>108</v>
      </c>
      <c r="C13" s="32" t="n">
        <f aca="false">KONTROLLER!B19</f>
        <v>75</v>
      </c>
      <c r="D13" s="36" t="str">
        <f aca="false">_xlfn.TEXTJOIN("; ",TRUE(),"Veri kalite skoru ",TEXT(C13,"0")," puan — ",IF(C13&gt;=AdatKaliteIyi,"yüksek güven","veri girişi tamamlanmalı"))</f>
        <v>Veri kalite skoru ; 75;  puan — ; veri girişi tamamlanmalı</v>
      </c>
    </row>
    <row r="14" customFormat="false" ht="30" hidden="false" customHeight="true" outlineLevel="0" collapsed="false">
      <c r="A14" s="34" t="s">
        <v>109</v>
      </c>
      <c r="B14" s="35" t="s">
        <v>110</v>
      </c>
      <c r="C14" s="27" t="n">
        <f aca="false">PANO!B24</f>
        <v>120000</v>
      </c>
      <c r="D14" s="36" t="str">
        <f aca="false">_xlfn.TEXTJOIN("; ",TRUE(),"Gelecek dönem faiz tutarı tahmini ",TEXT(C14,"₺ #,##0")," TL — güven bandı PANO sayfasındadır")</f>
        <v>Gelecek dönem faiz tutarı tahmini ; ₺ 120000,000;  TL — güven bandı PANO sayfasındadır</v>
      </c>
    </row>
    <row r="15" customFormat="false" ht="30" hidden="false" customHeight="true" outlineLevel="0" collapsed="false">
      <c r="A15" s="34" t="s">
        <v>111</v>
      </c>
      <c r="B15" s="35" t="s">
        <v>112</v>
      </c>
      <c r="C15" s="26" t="n">
        <f aca="false">IFERROR(_xlfn.PERCENTILE.INC(tblOrtak[Adat (₺·gün)],AdatP90Oran),0)</f>
        <v>0</v>
      </c>
      <c r="D15" s="36" t="str">
        <f aca="false">_xlfn.TEXTJOIN("; ",TRUE(),"İşlem adatlarının %90 ı ",TEXT(C15,"₺ #,##0")," ₺·gün altında gerçekleşir — üst sınır risk planı içindir")</f>
        <v>İşlem adatlarının %90 ı ; ₺ ,000;  ₺·gün altında gerçekleşir — üst sınır risk planı içindir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114</v>
      </c>
    </row>
    <row r="4" customFormat="false" ht="28.35" hidden="false" customHeight="false" outlineLevel="0" collapsed="false">
      <c r="A4" s="13" t="s">
        <v>115</v>
      </c>
    </row>
    <row r="6" customFormat="false" ht="15" hidden="false" customHeight="false" outlineLevel="0" collapsed="false">
      <c r="A6" s="6" t="s">
        <v>116</v>
      </c>
      <c r="B6" s="26" t="str">
        <f aca="false">IF(COUNTBLANK(tblOrtak[Ortak Adı])=0,"TEMİZ","BOŞ VAR")</f>
        <v>BOŞ VAR</v>
      </c>
    </row>
    <row r="7" customFormat="false" ht="15" hidden="false" customHeight="false" outlineLevel="0" collapsed="false">
      <c r="A7" s="6" t="s">
        <v>117</v>
      </c>
      <c r="B7" s="26" t="str">
        <f aca="false">IF(COUNTBLANK(tblOrtak[Tutar (₺)])=0,"TEMİZ","BOŞ VAR")</f>
        <v>BOŞ VAR</v>
      </c>
    </row>
    <row r="8" customFormat="false" ht="15" hidden="false" customHeight="false" outlineLevel="0" collapsed="false">
      <c r="A8" s="6" t="s">
        <v>118</v>
      </c>
      <c r="B8" s="26" t="str">
        <f aca="false">IF(COUNTIF(tblOrtak[Tutar (₺)],"&lt;0")=0,"TEMİZ","NEGATİF VAR")</f>
        <v>TEMİZ</v>
      </c>
    </row>
    <row r="9" customFormat="false" ht="15" hidden="false" customHeight="false" outlineLevel="0" collapsed="false">
      <c r="A9" s="6" t="s">
        <v>119</v>
      </c>
      <c r="B9" s="26" t="str">
        <f aca="false">IF(COUNTIF(tblOrtak[İşlem Türü],"Alacak")+COUNTIF(tblOrtak[İşlem Türü],"Borç")=COUNTA(tblOrtak[Ortak Adı]),"TEMİZ","GEÇERSİZ VAR")</f>
        <v>TEMİZ</v>
      </c>
    </row>
    <row r="10" customFormat="false" ht="15" hidden="false" customHeight="false" outlineLevel="0" collapsed="false">
      <c r="A10" s="6" t="s">
        <v>120</v>
      </c>
      <c r="B10" s="26" t="str">
        <f aca="false">IF(COUNTIF(tblKasa[Gün Sonu Bakiye (₺)],"&lt;0")=0,"TEMİZ","NEGATİF VAR")</f>
        <v>TEMİZ</v>
      </c>
    </row>
    <row r="11" customFormat="false" ht="15" hidden="false" customHeight="false" outlineLevel="0" collapsed="false">
      <c r="A11" s="6" t="s">
        <v>121</v>
      </c>
      <c r="B11" s="26" t="str">
        <f aca="false">IF(HESAP!B20&lt;0,"RİSK","NORMAL")</f>
        <v>NORMAL</v>
      </c>
    </row>
    <row r="12" customFormat="false" ht="15" hidden="false" customHeight="false" outlineLevel="0" collapsed="false">
      <c r="A12" s="6" t="s">
        <v>122</v>
      </c>
      <c r="B12" s="26" t="str">
        <f aca="false">IF(HESAP!B25&gt;AdatFaizEsik,"AŞIYOR","NORMAL")</f>
        <v>NORMAL</v>
      </c>
    </row>
    <row r="13" customFormat="false" ht="15" hidden="false" customHeight="false" outlineLevel="0" collapsed="false">
      <c r="A13" s="6" t="s">
        <v>123</v>
      </c>
      <c r="B13" s="26" t="str">
        <f aca="false">IF(HESAP!B28&gt;AdatOzKaynakEsik,"AŞIYOR","NORMAL")</f>
        <v>NORMAL</v>
      </c>
    </row>
    <row r="15" customFormat="false" ht="15" hidden="false" customHeight="false" outlineLevel="0" collapsed="false">
      <c r="A15" s="4" t="s">
        <v>124</v>
      </c>
    </row>
    <row r="16" customFormat="false" ht="28.35" hidden="false" customHeight="false" outlineLevel="0" collapsed="false">
      <c r="A16" s="13" t="s">
        <v>125</v>
      </c>
    </row>
    <row r="17" customFormat="false" ht="15" hidden="false" customHeight="false" outlineLevel="0" collapsed="false">
      <c r="A17" s="6" t="s">
        <v>126</v>
      </c>
      <c r="B17" s="32" t="n">
        <f aca="false">(COUNTA(tblOrtak[Ortak Adı])+COUNTA(tblOrtak[Tutar (₺)]))+(COUNTA(tblKasa[Açıklama])+COUNTA(tblKasa[Gün Sonu Bakiye (₺)]))</f>
        <v>24</v>
      </c>
    </row>
    <row r="18" customFormat="false" ht="15" hidden="false" customHeight="false" outlineLevel="0" collapsed="false">
      <c r="A18" s="6" t="s">
        <v>127</v>
      </c>
      <c r="B18" s="32" t="n">
        <f aca="false">COUNTA(tblOrtak[Ortak Adı])+COUNTA(tblOrtak[Tutar (₺)])+COUNTA(tblKasa[Gün Sonu Bakiye (₺)])</f>
        <v>18</v>
      </c>
    </row>
    <row r="19" customFormat="false" ht="15" hidden="false" customHeight="false" outlineLevel="0" collapsed="false">
      <c r="A19" s="37" t="s">
        <v>128</v>
      </c>
      <c r="B19" s="38" t="n">
        <f aca="false">ROUND(IF(AdatToplamGiris=0,0,AdatDoluGiris/AdatToplamGiris*100),0)</f>
        <v>75</v>
      </c>
    </row>
    <row r="20" customFormat="false" ht="15" hidden="false" customHeight="false" outlineLevel="0" collapsed="false">
      <c r="A20" s="6" t="s">
        <v>129</v>
      </c>
      <c r="B20" s="26" t="str">
        <f aca="false">IF(B19&gt;=AdatKaliteIyi,"YÜKSEK",IF(B19&gt;=AdatKaliteOrta,"ORTA","DÜŞÜK"))</f>
        <v>ORTA</v>
      </c>
    </row>
    <row r="22" customFormat="false" ht="19.5" hidden="false" customHeight="true" outlineLevel="0" collapsed="false">
      <c r="A22" s="24" t="s">
        <v>130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2">
      <formula>"BOŞ VAR"</formula>
    </cfRule>
    <cfRule type="cellIs" priority="3" operator="equal" aboveAverage="0" equalAverage="0" bottom="0" percent="0" rank="0" text="" dxfId="12">
      <formula>"NEGATİF VAR"</formula>
    </cfRule>
    <cfRule type="cellIs" priority="4" operator="equal" aboveAverage="0" equalAverage="0" bottom="0" percent="0" rank="0" text="" dxfId="12">
      <formula>"GEÇERSİZ VAR"</formula>
    </cfRule>
    <cfRule type="cellIs" priority="5" operator="equal" aboveAverage="0" equalAverage="0" bottom="0" percent="0" rank="0" text="" dxfId="12">
      <formula>"RİSK"</formula>
    </cfRule>
    <cfRule type="cellIs" priority="6" operator="equal" aboveAverage="0" equalAverage="0" bottom="0" percent="0" rank="0" text="" dxfId="12">
      <formula>"AŞIYOR"</formula>
    </cfRule>
    <cfRule type="cellIs" priority="7" operator="equal" aboveAverage="0" equalAverage="0" bottom="0" percent="0" rank="0" text="" dxfId="13">
      <formula>"TEMİZ"</formula>
    </cfRule>
    <cfRule type="cellIs" priority="8" operator="equal" aboveAverage="0" equalAverage="0" bottom="0" percent="0" rank="0" text="" dxfId="13">
      <formula>"NORMAL"</formula>
    </cfRule>
  </conditionalFormatting>
  <conditionalFormatting sqref="B19">
    <cfRule type="cellIs" priority="9" operator="lessThan" aboveAverage="0" equalAverage="0" bottom="0" percent="0" rank="0" text="" dxfId="11">
      <formula>70</formula>
    </cfRule>
    <cfRule type="cellIs" priority="10" operator="between" aboveAverage="0" equalAverage="0" bottom="0" percent="0" rank="0" text="" dxfId="14">
      <formula>70</formula>
      <formula>90</formula>
    </cfRule>
    <cfRule type="cellIs" priority="11" operator="greaterThanOrEqual" aboveAverage="0" equalAverage="0" bottom="0" percent="0" rank="0" text="" dxfId="13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132</v>
      </c>
    </row>
    <row r="4" customFormat="false" ht="28.35" hidden="false" customHeight="false" outlineLevel="0" collapsed="false">
      <c r="A4" s="13" t="s">
        <v>133</v>
      </c>
    </row>
    <row r="6" customFormat="false" ht="15" hidden="false" customHeight="false" outlineLevel="0" collapsed="false">
      <c r="A6" s="6" t="s">
        <v>80</v>
      </c>
      <c r="B6" s="30" t="n">
        <f aca="false">HESAP!B25</f>
        <v>167.25</v>
      </c>
    </row>
    <row r="7" customFormat="false" ht="15" hidden="false" customHeight="false" outlineLevel="0" collapsed="false">
      <c r="A7" s="6" t="s">
        <v>75</v>
      </c>
      <c r="B7" s="27" t="n">
        <f aca="false">HESAP!B20</f>
        <v>450000</v>
      </c>
    </row>
    <row r="8" customFormat="false" ht="15" hidden="false" customHeight="false" outlineLevel="0" collapsed="false">
      <c r="A8" s="6" t="s">
        <v>81</v>
      </c>
      <c r="B8" s="27" t="n">
        <f aca="false">HESAP!B26</f>
        <v>167.25</v>
      </c>
    </row>
    <row r="9" customFormat="false" ht="15" hidden="false" customHeight="false" outlineLevel="0" collapsed="false">
      <c r="A9" s="6" t="s">
        <v>83</v>
      </c>
      <c r="B9" s="28" t="n">
        <f aca="false">HESAP!B28</f>
        <v>0</v>
      </c>
    </row>
    <row r="11" customFormat="false" ht="21.6" hidden="false" customHeight="false" outlineLevel="0" collapsed="false">
      <c r="A11" s="39" t="s">
        <v>134</v>
      </c>
      <c r="B11" s="40" t="str">
        <f aca="false">IF(COUNTA(tblOrtak[Ortak Adı])=0,"VERİ YOK",IF(COUNTIF(tblOrtak[Tutar (₺)],"&lt;0")&gt;0,"DURDUR",IF(COUNTIF(tblKasa[Gün Sonu Bakiye (₺)],"&lt;0")&gt;0,"DURDUR",IF(HESAP!B28&gt;AdatOzKaynakEsik,"İNCELE",IF(HESAP!B25&gt;AdatFaizEsik,"İNCELE","UYGUN")))))</f>
        <v>UYGUN</v>
      </c>
    </row>
    <row r="12" customFormat="false" ht="15" hidden="false" customHeight="false" outlineLevel="0" collapsed="false">
      <c r="A12" s="37" t="s">
        <v>135</v>
      </c>
      <c r="B12" s="41" t="str">
        <f aca="false">IF(COUNTIF(tblOrtak[Tutar (₺)],"&lt;0")&gt;0,"Negatif tutar girişi tespit edildi; veriler mutlaka düzeltilmeli.",IF(COUNTIF(tblKasa[Gün Sonu Bakiye (₺)],"&lt;0")&gt;0,"Negatif kasa bakiyesi var; kasa kayıtları düzeltilmeli.",IF(HESAP!B28&gt;AdatOzKaynakEsik,"Örtülü sermaye oranı eşiğin üzerinde; faizin KKEG riski var, mali müşavirle mutabakat şart.",IF(HESAP!B25&gt;AdatFaizEsik,"Brüt faiz tutarı eşiğin üzerinde; fatura düzenlemeden önce belgeler doğrulanmalı.","Karar kapısı uygun: faiz tutarı ve risk göstergeleri hedef aralıkta."))))</f>
        <v>Karar kapısı uygun: faiz tutarı ve risk göstergeleri hedef aralıkta.</v>
      </c>
      <c r="C12" s="41"/>
      <c r="D12" s="41"/>
      <c r="E12" s="41"/>
      <c r="F12" s="41"/>
      <c r="G12" s="41"/>
      <c r="H12" s="41"/>
      <c r="I12" s="41"/>
      <c r="J12" s="41"/>
    </row>
    <row r="14" customFormat="false" ht="15" hidden="false" customHeight="false" outlineLevel="0" collapsed="false">
      <c r="A14" s="4" t="s">
        <v>136</v>
      </c>
    </row>
    <row r="15" customFormat="false" ht="15" hidden="false" customHeight="false" outlineLevel="0" collapsed="false">
      <c r="A15" s="6" t="s">
        <v>137</v>
      </c>
      <c r="B15" s="41" t="str">
        <f aca="false">AdatAksiyon1_ACIKLAMA</f>
        <v>Örtülü sermaye oranı eşikte ise ortak cari bakiyesini azaltın veya faiz oranını emsal ile mutabakatlandırın.</v>
      </c>
      <c r="C15" s="41"/>
      <c r="D15" s="41"/>
      <c r="E15" s="41"/>
      <c r="F15" s="41"/>
      <c r="G15" s="41"/>
      <c r="H15" s="41"/>
      <c r="I15" s="41"/>
      <c r="J15" s="41"/>
    </row>
    <row r="16" customFormat="false" ht="15" hidden="false" customHeight="false" outlineLevel="0" collapsed="false">
      <c r="A16" s="6" t="s">
        <v>138</v>
      </c>
      <c r="B16" s="41" t="str">
        <f aca="false">AdatAksiyon2_ACIKLAMA</f>
        <v>Faiz tutarı eşiği aşılıyorsa fatura düzenlemeden önce belgeleri ve hesapları mali müşavirle doğrulayın.</v>
      </c>
      <c r="C16" s="41"/>
      <c r="D16" s="41"/>
      <c r="E16" s="41"/>
      <c r="F16" s="41"/>
      <c r="G16" s="41"/>
      <c r="H16" s="41"/>
      <c r="I16" s="41"/>
      <c r="J16" s="41"/>
    </row>
    <row r="17" customFormat="false" ht="15" hidden="false" customHeight="false" outlineLevel="0" collapsed="false">
      <c r="A17" s="6" t="s">
        <v>139</v>
      </c>
      <c r="B17" s="41" t="str">
        <f aca="false">AdatAksiyon3_ACIKLAMA</f>
        <v>Kasa bakiyelerinin dönem boyunca eksiksiz kaydedildiğini doğrulayın; adat hesabı gün sonu bakiyelerine dayanır.</v>
      </c>
      <c r="C17" s="41"/>
      <c r="D17" s="41"/>
      <c r="E17" s="41"/>
      <c r="F17" s="41"/>
      <c r="G17" s="41"/>
      <c r="H17" s="41"/>
      <c r="I17" s="41"/>
      <c r="J17" s="41"/>
    </row>
    <row r="19" customFormat="false" ht="19.5" hidden="false" customHeight="true" outlineLevel="0" collapsed="false">
      <c r="A19" s="24" t="s">
        <v>140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5">
      <formula>"UYGUN"</formula>
    </cfRule>
    <cfRule type="cellIs" priority="3" operator="equal" aboveAverage="0" equalAverage="0" bottom="0" percent="0" rank="0" text="" dxfId="16">
      <formula>"İNCELE"</formula>
    </cfRule>
    <cfRule type="cellIs" priority="4" operator="equal" aboveAverage="0" equalAverage="0" bottom="0" percent="0" rank="0" text="" dxfId="12">
      <formula>"DURDUR"</formula>
    </cfRule>
  </conditionalFormatting>
  <conditionalFormatting sqref="B6">
    <cfRule type="cellIs" priority="5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7.35" hidden="false" customHeight="false" outlineLevel="0" collapsed="false">
      <c r="A3" s="39" t="s">
        <v>142</v>
      </c>
      <c r="B3" s="42" t="s">
        <v>80</v>
      </c>
      <c r="C3" s="42" t="s">
        <v>143</v>
      </c>
      <c r="D3" s="42" t="s">
        <v>75</v>
      </c>
      <c r="E3" s="42" t="s">
        <v>83</v>
      </c>
      <c r="F3" s="42" t="s">
        <v>128</v>
      </c>
      <c r="G3" s="42" t="s">
        <v>144</v>
      </c>
    </row>
    <row r="4" customFormat="false" ht="15" hidden="false" customHeight="false" outlineLevel="0" collapsed="false">
      <c r="B4" s="43" t="n">
        <f aca="false">HESAP!B25</f>
        <v>167.25</v>
      </c>
      <c r="C4" s="43" t="n">
        <f aca="false">HESAP!B26</f>
        <v>167.25</v>
      </c>
      <c r="D4" s="43" t="n">
        <f aca="false">HESAP!B20</f>
        <v>450000</v>
      </c>
      <c r="E4" s="44" t="n">
        <f aca="false">HESAP!B28</f>
        <v>0</v>
      </c>
      <c r="F4" s="45" t="n">
        <f aca="false">KONTROLLER!B19</f>
        <v>75</v>
      </c>
      <c r="G4" s="43" t="n">
        <f aca="false">HESAP!B24</f>
        <v>118.84</v>
      </c>
    </row>
    <row r="6" customFormat="false" ht="18.65" hidden="false" customHeight="false" outlineLevel="0" collapsed="false">
      <c r="A6" s="25" t="s">
        <v>145</v>
      </c>
      <c r="B6" s="46" t="str">
        <f aca="false">KARAR!B11</f>
        <v>UYGUN</v>
      </c>
      <c r="D6" s="25" t="s">
        <v>146</v>
      </c>
      <c r="E6" s="47" t="n">
        <f aca="false">HESAP!B21</f>
        <v>9300000</v>
      </c>
    </row>
    <row r="10" customFormat="false" ht="15" hidden="false" customHeight="false" outlineLevel="0" collapsed="false">
      <c r="A10" s="29" t="s">
        <v>147</v>
      </c>
      <c r="E10" s="29" t="s">
        <v>148</v>
      </c>
    </row>
    <row r="11" customFormat="false" ht="15" hidden="false" customHeight="false" outlineLevel="0" collapsed="false">
      <c r="A11" s="48" t="str">
        <f aca="false">HESAP!A8</f>
        <v>Ayşe Demir</v>
      </c>
      <c r="B11" s="27" t="n">
        <f aca="false">HESAP!B8</f>
        <v>250000</v>
      </c>
      <c r="C11" s="27" t="n">
        <f aca="false">HESAP!D8</f>
        <v>30.71</v>
      </c>
      <c r="E11" s="48" t="str">
        <f aca="false">HESAP!A8</f>
        <v>Ayşe Demir</v>
      </c>
      <c r="F11" s="28" t="n">
        <f aca="false">HESAP!E8</f>
        <v>0.634408602150538</v>
      </c>
    </row>
    <row r="12" customFormat="false" ht="15" hidden="false" customHeight="false" outlineLevel="0" collapsed="false">
      <c r="A12" s="48" t="str">
        <f aca="false">HESAP!A9</f>
        <v>Mehmet Kaya</v>
      </c>
      <c r="B12" s="27" t="n">
        <f aca="false">HESAP!B9</f>
        <v>200000</v>
      </c>
      <c r="C12" s="27" t="n">
        <f aca="false">HESAP!D9</f>
        <v>17.7</v>
      </c>
      <c r="E12" s="48" t="str">
        <f aca="false">HESAP!A9</f>
        <v>Mehmet Kaya</v>
      </c>
      <c r="F12" s="28" t="n">
        <f aca="false">HESAP!E9</f>
        <v>0.365591397849462</v>
      </c>
    </row>
    <row r="13" customFormat="false" ht="15" hidden="false" customHeight="false" outlineLevel="0" collapsed="false">
      <c r="A13" s="48" t="str">
        <f aca="false">HESAP!A10</f>
        <v>Zeynep Şahin</v>
      </c>
      <c r="B13" s="27" t="n">
        <f aca="false">HESAP!B10</f>
        <v>0</v>
      </c>
      <c r="C13" s="27" t="n">
        <f aca="false">HESAP!D10</f>
        <v>0</v>
      </c>
      <c r="E13" s="48" t="str">
        <f aca="false">HESAP!A10</f>
        <v>Zeynep Şahin</v>
      </c>
      <c r="F13" s="28" t="n">
        <f aca="false">HESAP!E10</f>
        <v>0</v>
      </c>
    </row>
    <row r="14" customFormat="false" ht="15" hidden="false" customHeight="false" outlineLevel="0" collapsed="false">
      <c r="A14" s="48" t="str">
        <f aca="false">HESAP!A11</f>
        <v>Ali Öztürk</v>
      </c>
      <c r="B14" s="27" t="n">
        <f aca="false">HESAP!B11</f>
        <v>0</v>
      </c>
      <c r="C14" s="27" t="n">
        <f aca="false">HESAP!D11</f>
        <v>0</v>
      </c>
      <c r="E14" s="48" t="str">
        <f aca="false">HESAP!A11</f>
        <v>Ali Öztürk</v>
      </c>
      <c r="F14" s="28" t="n">
        <f aca="false">HESAP!E11</f>
        <v>0</v>
      </c>
    </row>
    <row r="15" customFormat="false" ht="15" hidden="false" customHeight="false" outlineLevel="0" collapsed="false">
      <c r="A15" s="48" t="str">
        <f aca="false">HESAP!A12</f>
        <v>Fatma Çelik</v>
      </c>
      <c r="B15" s="27" t="n">
        <f aca="false">HESAP!B12</f>
        <v>0</v>
      </c>
      <c r="C15" s="27" t="n">
        <f aca="false">HESAP!D12</f>
        <v>0</v>
      </c>
      <c r="E15" s="48" t="str">
        <f aca="false">HESAP!A12</f>
        <v>Fatma Çelik</v>
      </c>
      <c r="F15" s="28" t="n">
        <f aca="false">HESAP!E12</f>
        <v>0</v>
      </c>
    </row>
    <row r="16" customFormat="false" ht="15" hidden="false" customHeight="false" outlineLevel="0" collapsed="false">
      <c r="A16" s="48" t="str">
        <f aca="false">HESAP!A13</f>
        <v>Murat Aydın</v>
      </c>
      <c r="B16" s="27" t="n">
        <f aca="false">HESAP!B13</f>
        <v>0</v>
      </c>
      <c r="C16" s="27" t="n">
        <f aca="false">HESAP!D13</f>
        <v>0</v>
      </c>
      <c r="E16" s="48" t="str">
        <f aca="false">HESAP!A13</f>
        <v>Murat Aydın</v>
      </c>
      <c r="F16" s="28" t="n">
        <f aca="false">HESAP!E13</f>
        <v>0</v>
      </c>
    </row>
    <row r="17" customFormat="false" ht="15" hidden="false" customHeight="false" outlineLevel="0" collapsed="false">
      <c r="A17" s="48" t="str">
        <f aca="false">HESAP!A14</f>
        <v>Elif Arslan</v>
      </c>
      <c r="B17" s="27" t="n">
        <f aca="false">HESAP!B14</f>
        <v>0</v>
      </c>
      <c r="C17" s="27" t="n">
        <f aca="false">HESAP!D14</f>
        <v>0</v>
      </c>
      <c r="E17" s="48" t="str">
        <f aca="false">HESAP!A14</f>
        <v>Elif Arslan</v>
      </c>
      <c r="F17" s="28" t="n">
        <f aca="false">HESAP!E14</f>
        <v>0</v>
      </c>
    </row>
    <row r="18" customFormat="false" ht="15" hidden="false" customHeight="false" outlineLevel="0" collapsed="false">
      <c r="A18" s="48" t="str">
        <f aca="false">HESAP!A15</f>
        <v>Mustafa Kılıç</v>
      </c>
      <c r="B18" s="27" t="n">
        <f aca="false">HESAP!B15</f>
        <v>0</v>
      </c>
      <c r="C18" s="27" t="n">
        <f aca="false">HESAP!D15</f>
        <v>0</v>
      </c>
      <c r="E18" s="48" t="str">
        <f aca="false">HESAP!A15</f>
        <v>Mustafa Kılıç</v>
      </c>
      <c r="F18" s="28" t="n">
        <f aca="false">HESAP!E15</f>
        <v>0</v>
      </c>
    </row>
    <row r="19" customFormat="false" ht="15" hidden="false" customHeight="false" outlineLevel="0" collapsed="false">
      <c r="A19" s="48" t="str">
        <f aca="false">HESAP!A16</f>
        <v>Hüseyin Doğan</v>
      </c>
      <c r="B19" s="27" t="n">
        <f aca="false">HESAP!B16</f>
        <v>0</v>
      </c>
      <c r="C19" s="27" t="n">
        <f aca="false">HESAP!D16</f>
        <v>0</v>
      </c>
      <c r="E19" s="48" t="str">
        <f aca="false">HESAP!A16</f>
        <v>Hüseyin Doğan</v>
      </c>
      <c r="F19" s="28" t="n">
        <f aca="false">HESAP!E16</f>
        <v>0</v>
      </c>
    </row>
    <row r="20" customFormat="false" ht="15" hidden="false" customHeight="false" outlineLevel="0" collapsed="false">
      <c r="A20" s="48" t="str">
        <f aca="false">HESAP!A17</f>
        <v/>
      </c>
      <c r="B20" s="27" t="str">
        <f aca="false">HESAP!B17</f>
        <v/>
      </c>
      <c r="C20" s="27" t="str">
        <f aca="false">HESAP!D17</f>
        <v/>
      </c>
      <c r="E20" s="48" t="str">
        <f aca="false">HESAP!A17</f>
        <v/>
      </c>
      <c r="F20" s="28" t="str">
        <f aca="false">HESAP!E17</f>
        <v/>
      </c>
    </row>
    <row r="22" customFormat="false" ht="15" hidden="false" customHeight="false" outlineLevel="0" collapsed="false">
      <c r="A22" s="29" t="s">
        <v>149</v>
      </c>
    </row>
    <row r="23" customFormat="false" ht="15" hidden="false" customHeight="false" outlineLevel="0" collapsed="false">
      <c r="A23" s="48" t="str">
        <f aca="false">IFERROR(INDEX(tblKasa[Açıklama],AdatPanelSatir1),"")</f>
        <v>Ocak sonu kasa</v>
      </c>
      <c r="B23" s="27" t="n">
        <f aca="false">IFERROR(INDEX(tblKasa[Gün Sonu Bakiye (₺)],AdatPanelSatir1),0)</f>
        <v>85000</v>
      </c>
    </row>
    <row r="24" customFormat="false" ht="15" hidden="false" customHeight="false" outlineLevel="0" collapsed="false">
      <c r="A24" s="48" t="str">
        <f aca="false">IFERROR(INDEX(tblKasa[Açıklama],AdatPanelSatir2),"")</f>
        <v>Şubat sonu kasa</v>
      </c>
      <c r="B24" s="27" t="n">
        <f aca="false">IFERROR(INDEX(tblKasa[Gün Sonu Bakiye (₺)],AdatPanelSatir2),0)</f>
        <v>120000</v>
      </c>
      <c r="D24" s="29" t="s">
        <v>150</v>
      </c>
      <c r="E24" s="27" t="n">
        <f aca="false">ROUND(IFERROR(_xlfn.FORECAST.LINEAR(AdatPanelSatir12,tblOrtak[Faiz (₺)],ROW(tblOrtak[Faiz (₺)])-ROW(tblOrtak[[#Headers],[Tarih]])),0),0)</f>
        <v>1</v>
      </c>
    </row>
    <row r="25" customFormat="false" ht="15" hidden="false" customHeight="false" outlineLevel="0" collapsed="false">
      <c r="A25" s="48" t="str">
        <f aca="false">IFERROR(INDEX(tblKasa[Açıklama],AdatPanelSatir3),"")</f>
        <v>Mart sonu kasa</v>
      </c>
      <c r="B25" s="27" t="n">
        <f aca="false">IFERROR(INDEX(tblKasa[Gün Sonu Bakiye (₺)],AdatPanelSatir3),0)</f>
        <v>95000</v>
      </c>
      <c r="D25" s="6" t="s">
        <v>151</v>
      </c>
      <c r="E25" s="27" t="n">
        <f aca="false">ROUND(IFERROR(AVERAGE(INDEX(tblOrtak[Faiz (₺)],AdatPanelSatir1):INDEX(tblOrtak[Faiz (₺)],AdatPanelSatir12)),0),0)</f>
        <v>14</v>
      </c>
    </row>
    <row r="26" customFormat="false" ht="15" hidden="false" customHeight="false" outlineLevel="0" collapsed="false">
      <c r="A26" s="48" t="str">
        <f aca="false">IFERROR(INDEX(tblKasa[Açıklama],AdatPanelSatir4),"")</f>
        <v>Nisan sonu kasa</v>
      </c>
      <c r="B26" s="27" t="n">
        <f aca="false">IFERROR(INDEX(tblKasa[Gün Sonu Bakiye (₺)],AdatPanelSatir4),0)</f>
        <v>140000</v>
      </c>
      <c r="D26" s="6" t="s">
        <v>152</v>
      </c>
      <c r="E26" s="27" t="n">
        <f aca="false">ROUND(IFERROR(stdev.p(INDEX(tblOrtak[Faiz (₺)],AdatPanelSatir1):INDEX(tblOrtak[Faiz (₺)],AdatPanelSatir12)),0),0)</f>
        <v>0</v>
      </c>
    </row>
    <row r="27" customFormat="false" ht="15" hidden="false" customHeight="false" outlineLevel="0" collapsed="false">
      <c r="A27" s="48" t="str">
        <f aca="false">IFERROR(INDEX(tblKasa[Açıklama],AdatPanelSatir5),"")</f>
        <v>Mayıs sonu kasa</v>
      </c>
      <c r="B27" s="27" t="n">
        <f aca="false">IFERROR(INDEX(tblKasa[Gün Sonu Bakiye (₺)],AdatPanelSatir5),0)</f>
        <v>110000</v>
      </c>
      <c r="D27" s="6" t="s">
        <v>153</v>
      </c>
      <c r="E27" s="27" t="n">
        <f aca="false">E25-E26*AdatTahminCarpan</f>
        <v>14</v>
      </c>
    </row>
    <row r="28" customFormat="false" ht="15" hidden="false" customHeight="false" outlineLevel="0" collapsed="false">
      <c r="A28" s="48" t="str">
        <f aca="false">IFERROR(INDEX(tblKasa[Açıklama],AdatPanelSatir6),"")</f>
        <v>Haziran sonu kasa</v>
      </c>
      <c r="B28" s="27" t="n">
        <f aca="false">IFERROR(INDEX(tblKasa[Gün Sonu Bakiye (₺)],AdatPanelSatir6),0)</f>
        <v>160000</v>
      </c>
      <c r="D28" s="6" t="s">
        <v>154</v>
      </c>
      <c r="E28" s="27" t="n">
        <f aca="false">E25+E26*AdatTahminCarpan</f>
        <v>14</v>
      </c>
    </row>
    <row r="29" customFormat="false" ht="15" hidden="false" customHeight="false" outlineLevel="0" collapsed="false">
      <c r="A29" s="48" t="n">
        <f aca="false">IFERROR(INDEX(tblKasa[Açıklama],AdatPanelSatir7),"")</f>
        <v>0</v>
      </c>
      <c r="B29" s="27" t="n">
        <f aca="false">IFERROR(INDEX(tblKasa[Gün Sonu Bakiye (₺)],AdatPanelSatir7),0)</f>
        <v>0</v>
      </c>
      <c r="C29" s="29" t="s">
        <v>155</v>
      </c>
    </row>
    <row r="30" customFormat="false" ht="15" hidden="false" customHeight="false" outlineLevel="0" collapsed="false">
      <c r="A30" s="48" t="n">
        <f aca="false">IFERROR(INDEX(tblKasa[Açıklama],AdatPanelSatir8),"")</f>
        <v>0</v>
      </c>
      <c r="B30" s="27" t="n">
        <f aca="false">IFERROR(INDEX(tblKasa[Gün Sonu Bakiye (₺)],AdatPanelSatir8),0)</f>
        <v>0</v>
      </c>
      <c r="C30" s="27" t="n">
        <f aca="false">SENARYO_DUYARLILIK!C7</f>
        <v>183.98</v>
      </c>
      <c r="D30" s="48" t="s">
        <v>156</v>
      </c>
    </row>
    <row r="31" customFormat="false" ht="15" hidden="false" customHeight="false" outlineLevel="0" collapsed="false">
      <c r="A31" s="48" t="n">
        <f aca="false">IFERROR(INDEX(tblKasa[Açıklama],AdatPanelSatir9),"")</f>
        <v>0</v>
      </c>
      <c r="B31" s="27" t="n">
        <f aca="false">IFERROR(INDEX(tblKasa[Gün Sonu Bakiye (₺)],AdatPanelSatir9),0)</f>
        <v>0</v>
      </c>
      <c r="C31" s="27" t="n">
        <f aca="false">SENARYO_DUYARLILIK!C8</f>
        <v>167.25</v>
      </c>
      <c r="D31" s="48" t="s">
        <v>157</v>
      </c>
    </row>
    <row r="32" customFormat="false" ht="15" hidden="false" customHeight="false" outlineLevel="0" collapsed="false">
      <c r="A32" s="48" t="n">
        <f aca="false">IFERROR(INDEX(tblKasa[Açıklama],AdatPanelSatir10),"")</f>
        <v>0</v>
      </c>
      <c r="B32" s="27" t="n">
        <f aca="false">IFERROR(INDEX(tblKasa[Gün Sonu Bakiye (₺)],AdatPanelSatir10),0)</f>
        <v>0</v>
      </c>
      <c r="C32" s="27" t="n">
        <f aca="false">SENARYO_DUYARLILIK!C9</f>
        <v>150.53</v>
      </c>
      <c r="D32" s="48" t="s">
        <v>158</v>
      </c>
    </row>
    <row r="34" customFormat="false" ht="15" hidden="false" customHeight="false" outlineLevel="0" collapsed="false">
      <c r="A34" s="29" t="s">
        <v>159</v>
      </c>
    </row>
    <row r="35" customFormat="false" ht="15" hidden="false" customHeight="false" outlineLevel="0" collapsed="false">
      <c r="A35" s="48" t="str">
        <f aca="false">IFERROR(INDEX(tblKasa[Açıklama],AdatPanelSatir1),"")</f>
        <v>Ocak sonu kasa</v>
      </c>
      <c r="B35" s="27" t="n">
        <f aca="false">IFERROR(INDEX(tblKasa[Adat (₺·gün)],AdatPanelSatir1),0)</f>
        <v>2380000</v>
      </c>
    </row>
    <row r="36" customFormat="false" ht="15" hidden="false" customHeight="false" outlineLevel="0" collapsed="false">
      <c r="A36" s="48" t="str">
        <f aca="false">IFERROR(INDEX(tblKasa[Açıklama],AdatPanelSatir2),"")</f>
        <v>Şubat sonu kasa</v>
      </c>
      <c r="B36" s="27" t="n">
        <f aca="false">IFERROR(INDEX(tblKasa[Adat (₺·gün)],AdatPanelSatir2),0)</f>
        <v>3720000</v>
      </c>
    </row>
    <row r="37" customFormat="false" ht="15" hidden="false" customHeight="false" outlineLevel="0" collapsed="false">
      <c r="A37" s="48" t="str">
        <f aca="false">IFERROR(INDEX(tblKasa[Açıklama],AdatPanelSatir3),"")</f>
        <v>Mart sonu kasa</v>
      </c>
      <c r="B37" s="27" t="n">
        <f aca="false">IFERROR(INDEX(tblKasa[Adat (₺·gün)],AdatPanelSatir3),0)</f>
        <v>2850000</v>
      </c>
    </row>
    <row r="38" customFormat="false" ht="15" hidden="false" customHeight="false" outlineLevel="0" collapsed="false">
      <c r="A38" s="48" t="str">
        <f aca="false">IFERROR(INDEX(tblKasa[Açıklama],AdatPanelSatir4),"")</f>
        <v>Nisan sonu kasa</v>
      </c>
      <c r="B38" s="27" t="n">
        <f aca="false">IFERROR(INDEX(tblKasa[Adat (₺·gün)],AdatPanelSatir4),0)</f>
        <v>4340000</v>
      </c>
    </row>
    <row r="39" customFormat="false" ht="15" hidden="false" customHeight="false" outlineLevel="0" collapsed="false">
      <c r="A39" s="48" t="str">
        <f aca="false">IFERROR(INDEX(tblKasa[Açıklama],AdatPanelSatir5),"")</f>
        <v>Mayıs sonu kasa</v>
      </c>
      <c r="B39" s="27" t="n">
        <f aca="false">IFERROR(INDEX(tblKasa[Adat (₺·gün)],AdatPanelSatir5),0)</f>
        <v>3300000</v>
      </c>
    </row>
    <row r="40" customFormat="false" ht="15" hidden="false" customHeight="false" outlineLevel="0" collapsed="false">
      <c r="A40" s="48" t="str">
        <f aca="false">IFERROR(INDEX(tblKasa[Açıklama],AdatPanelSatir6),"")</f>
        <v>Haziran sonu kasa</v>
      </c>
      <c r="B40" s="27" t="n">
        <f aca="false">IFERROR(INDEX(tblKasa[Adat (₺·gün)],AdatPanelSatir6),0)</f>
        <v>6240000</v>
      </c>
    </row>
    <row r="56" customFormat="false" ht="19.5" hidden="false" customHeight="true" outlineLevel="0" collapsed="false">
      <c r="A56" s="24" t="s">
        <v>160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11">
      <formula>0</formula>
    </cfRule>
  </conditionalFormatting>
  <conditionalFormatting sqref="C4">
    <cfRule type="cellIs" priority="3" operator="lessThan" aboveAverage="0" equalAverage="0" bottom="0" percent="0" rank="0" text="" dxfId="11">
      <formula>0</formula>
    </cfRule>
  </conditionalFormatting>
  <conditionalFormatting sqref="D4">
    <cfRule type="cellIs" priority="4" operator="lessThan" aboveAverage="0" equalAverage="0" bottom="0" percent="0" rank="0" text="" dxfId="11">
      <formula>0</formula>
    </cfRule>
  </conditionalFormatting>
  <conditionalFormatting sqref="B6">
    <cfRule type="cellIs" priority="5" operator="equal" aboveAverage="0" equalAverage="0" bottom="0" percent="0" rank="0" text="" dxfId="15">
      <formula>"UYGUN"</formula>
    </cfRule>
    <cfRule type="cellIs" priority="6" operator="equal" aboveAverage="0" equalAverage="0" bottom="0" percent="0" rank="0" text="" dxfId="14">
      <formula>"İNCELE"</formula>
    </cfRule>
    <cfRule type="cellIs" priority="7" operator="equal" aboveAverage="0" equalAverage="0" bottom="0" percent="0" rank="0" text="" dxfId="12">
      <formula>"DURDUR"</formula>
    </cfRule>
  </conditionalFormatting>
  <conditionalFormatting sqref="B11:B21">
    <cfRule type="cellIs" priority="8" operator="lessThan" aboveAverage="0" equalAverage="0" bottom="0" percent="0" rank="0" text="" dxfId="11">
      <formula>0</formula>
    </cfRule>
  </conditionalFormatting>
  <conditionalFormatting sqref="E11:E21">
    <cfRule type="cellIs" priority="9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&amp;LOrtaklar Cari Kasa Adat Faiz Faturası Hesaplayıcı&amp;CExcelArşiv&amp;RSayfa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162</v>
      </c>
    </row>
    <row r="4" customFormat="false" ht="41.75" hidden="false" customHeight="false" outlineLevel="0" collapsed="false">
      <c r="A4" s="13" t="s">
        <v>163</v>
      </c>
    </row>
    <row r="6" customFormat="false" ht="15" hidden="false" customHeight="false" outlineLevel="0" collapsed="false">
      <c r="A6" s="49" t="s">
        <v>164</v>
      </c>
      <c r="B6" s="49" t="s">
        <v>165</v>
      </c>
      <c r="C6" s="49" t="s">
        <v>166</v>
      </c>
      <c r="D6" s="49" t="s">
        <v>143</v>
      </c>
    </row>
    <row r="7" customFormat="false" ht="15" hidden="false" customHeight="false" outlineLevel="0" collapsed="false">
      <c r="A7" s="37" t="s">
        <v>167</v>
      </c>
      <c r="B7" s="28" t="n">
        <f aca="false">IF(SUM(tblOrtak[Tutar (₺)])=0,0,AdatIyiSenaryo)</f>
        <v>1.1</v>
      </c>
      <c r="C7" s="27" t="n">
        <f aca="false">ROUND(HESAP!B25*AdatIyiSenaryo,2)</f>
        <v>183.98</v>
      </c>
      <c r="D7" s="27" t="n">
        <f aca="false">ROUND(C7,2)</f>
        <v>183.98</v>
      </c>
    </row>
    <row r="8" customFormat="false" ht="15" hidden="false" customHeight="false" outlineLevel="0" collapsed="false">
      <c r="A8" s="37" t="s">
        <v>168</v>
      </c>
      <c r="B8" s="28" t="n">
        <f aca="false">IF(SUM(tblOrtak[Tutar (₺)])=0,0,AdatBazSenaryo)</f>
        <v>1</v>
      </c>
      <c r="C8" s="27" t="n">
        <f aca="false">ROUND(HESAP!B25*AdatBazSenaryo,2)</f>
        <v>167.25</v>
      </c>
      <c r="D8" s="27" t="n">
        <f aca="false">ROUND(C8,2)</f>
        <v>167.25</v>
      </c>
    </row>
    <row r="9" customFormat="false" ht="15" hidden="false" customHeight="false" outlineLevel="0" collapsed="false">
      <c r="A9" s="37" t="s">
        <v>169</v>
      </c>
      <c r="B9" s="28" t="n">
        <f aca="false">IF(SUM(tblOrtak[Tutar (₺)])=0,0,AdatKotuSenaryo)</f>
        <v>0.9</v>
      </c>
      <c r="C9" s="27" t="n">
        <f aca="false">ROUND(HESAP!B25*AdatKotuSenaryo,2)</f>
        <v>150.53</v>
      </c>
      <c r="D9" s="27" t="n">
        <f aca="false">ROUND(C9,2)</f>
        <v>150.53</v>
      </c>
    </row>
    <row r="11" customFormat="false" ht="15" hidden="false" customHeight="false" outlineLevel="0" collapsed="false">
      <c r="A11" s="4" t="s">
        <v>170</v>
      </c>
    </row>
    <row r="12" customFormat="false" ht="15" hidden="false" customHeight="false" outlineLevel="0" collapsed="false">
      <c r="A12" s="6" t="s">
        <v>171</v>
      </c>
      <c r="B12" s="27" t="n">
        <f aca="false">ROUND(HESAP!B25*AdatTornadoOran,2)</f>
        <v>1.67</v>
      </c>
    </row>
    <row r="13" customFormat="false" ht="15" hidden="false" customHeight="false" outlineLevel="0" collapsed="false">
      <c r="A13" s="6" t="s">
        <v>172</v>
      </c>
      <c r="B13" s="27" t="n">
        <f aca="false">ROUND(HESAP!B25*AdatTornadoAdat,2)</f>
        <v>1.67</v>
      </c>
    </row>
    <row r="15" customFormat="false" ht="15" hidden="false" customHeight="false" outlineLevel="0" collapsed="false">
      <c r="A15" s="29" t="s">
        <v>173</v>
      </c>
      <c r="B15" s="50" t="str">
        <f aca="false">IF(B12&gt;=B13,"Faiz Oranı","Adat")</f>
        <v>Faiz Oranı</v>
      </c>
    </row>
    <row r="17" customFormat="false" ht="19.5" hidden="false" customHeight="true" outlineLevel="0" collapsed="false">
      <c r="A17" s="24" t="s">
        <v>174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lessThan" aboveAverage="0" equalAverage="0" bottom="0" percent="0" rank="0" text="" dxfId="11">
      <formula>0</formula>
    </cfRule>
  </conditionalFormatting>
  <conditionalFormatting sqref="B12:B13">
    <cfRule type="cellIs" priority="3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1" t="s">
        <v>175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</row>
    <row r="2" customFormat="false" ht="15" hidden="false" customHeight="false" outlineLevel="0" collapsed="false">
      <c r="A2" s="52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customFormat="false" ht="17.35" hidden="false" customHeight="false" outlineLevel="0" collapsed="false">
      <c r="A4" s="4" t="s">
        <v>145</v>
      </c>
      <c r="B4" s="40" t="str">
        <f aca="false">KARAR!B11</f>
        <v>UYGUN</v>
      </c>
    </row>
    <row r="6" customFormat="false" ht="15" hidden="false" customHeight="false" outlineLevel="0" collapsed="false">
      <c r="A6" s="6" t="s">
        <v>75</v>
      </c>
      <c r="B6" s="27" t="n">
        <f aca="false">HESAP!B20</f>
        <v>450000</v>
      </c>
    </row>
    <row r="7" customFormat="false" ht="15" hidden="false" customHeight="false" outlineLevel="0" collapsed="false">
      <c r="A7" s="6" t="s">
        <v>76</v>
      </c>
      <c r="B7" s="27" t="n">
        <f aca="false">HESAP!B21</f>
        <v>9300000</v>
      </c>
    </row>
    <row r="8" customFormat="false" ht="15" hidden="false" customHeight="false" outlineLevel="0" collapsed="false">
      <c r="A8" s="6" t="s">
        <v>77</v>
      </c>
      <c r="B8" s="27" t="n">
        <f aca="false">HESAP!B22</f>
        <v>48.41</v>
      </c>
    </row>
    <row r="9" customFormat="false" ht="15" hidden="false" customHeight="false" outlineLevel="0" collapsed="false">
      <c r="A9" s="6" t="s">
        <v>78</v>
      </c>
      <c r="B9" s="27" t="n">
        <f aca="false">HESAP!B23</f>
        <v>22830000</v>
      </c>
    </row>
    <row r="10" customFormat="false" ht="15" hidden="false" customHeight="false" outlineLevel="0" collapsed="false">
      <c r="A10" s="6" t="s">
        <v>79</v>
      </c>
      <c r="B10" s="27" t="n">
        <f aca="false">HESAP!B24</f>
        <v>118.84</v>
      </c>
    </row>
    <row r="11" customFormat="false" ht="15" hidden="false" customHeight="false" outlineLevel="0" collapsed="false">
      <c r="A11" s="6" t="s">
        <v>80</v>
      </c>
      <c r="B11" s="27" t="n">
        <f aca="false">HESAP!B25</f>
        <v>167.25</v>
      </c>
    </row>
    <row r="12" customFormat="false" ht="15" hidden="false" customHeight="false" outlineLevel="0" collapsed="false">
      <c r="A12" s="6" t="s">
        <v>81</v>
      </c>
      <c r="B12" s="27" t="n">
        <f aca="false">HESAP!B26</f>
        <v>167.25</v>
      </c>
    </row>
    <row r="13" customFormat="false" ht="15" hidden="false" customHeight="false" outlineLevel="0" collapsed="false">
      <c r="A13" s="6" t="s">
        <v>83</v>
      </c>
      <c r="B13" s="28" t="n">
        <f aca="false">HESAP!B28</f>
        <v>0</v>
      </c>
    </row>
    <row r="14" customFormat="false" ht="15" hidden="false" customHeight="false" outlineLevel="0" collapsed="false">
      <c r="A14" s="6" t="s">
        <v>128</v>
      </c>
      <c r="B14" s="32" t="n">
        <f aca="false">KONTROLLER!B19</f>
        <v>75</v>
      </c>
    </row>
    <row r="16" customFormat="false" ht="15" hidden="false" customHeight="false" outlineLevel="0" collapsed="false">
      <c r="A16" s="25" t="s">
        <v>176</v>
      </c>
    </row>
    <row r="17" customFormat="false" ht="15" hidden="false" customHeight="true" outlineLevel="0" collapsed="false">
      <c r="A17" s="5" t="s">
        <v>177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178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179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180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181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true" outlineLevel="0" collapsed="false">
      <c r="A22" s="5" t="s">
        <v>182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4" customFormat="false" ht="15" hidden="false" customHeight="false" outlineLevel="0" collapsed="false">
      <c r="A24" s="25" t="s">
        <v>136</v>
      </c>
    </row>
    <row r="25" customFormat="false" ht="15" hidden="false" customHeight="false" outlineLevel="0" collapsed="false">
      <c r="A25" s="5" t="str">
        <f aca="false">AdatAksiyon1_ACIKLAMA</f>
        <v>Örtülü sermaye oranı eşikte ise ortak cari bakiyesini azaltın veya faiz oranını emsal ile mutabakatlandırın.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AdatAksiyon2_ACIKLAMA</f>
        <v>Faiz tutarı eşiği aşılıyorsa fatura düzenlemeden önce belgeleri ve hesapları mali müşavirle doğrulayın.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5" t="str">
        <f aca="false">AdatAksiyon3_ACIKLAMA</f>
        <v>Kasa bakiyelerinin dönem boyunca eksiksiz kaydedildiğini doğrulayın; adat hesabı gün sonu bakiyelerine dayanır.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9" customFormat="false" ht="15" hidden="false" customHeight="false" outlineLevel="0" collapsed="false">
      <c r="A29" s="53" t="s">
        <v>183</v>
      </c>
    </row>
  </sheetData>
  <sheetProtection sheet="true" password="cc3d" objects="true" scenarios="true" deleteColumns="false" deleteRows="false"/>
  <mergeCells count="11">
    <mergeCell ref="A1:AN1"/>
    <mergeCell ref="A2:L2"/>
    <mergeCell ref="A17:L17"/>
    <mergeCell ref="A18:L18"/>
    <mergeCell ref="A19:L19"/>
    <mergeCell ref="A20:L20"/>
    <mergeCell ref="A21:L21"/>
    <mergeCell ref="A22:L22"/>
    <mergeCell ref="A25:L25"/>
    <mergeCell ref="A26:L26"/>
    <mergeCell ref="A27:L2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&amp;LOrtaklar Cari Kasa Adat Faiz Faturası Hesaplayıcı&amp;CExcelArşiv&amp;RSayfa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185</v>
      </c>
    </row>
    <row r="4" customFormat="false" ht="108.95" hidden="false" customHeight="false" outlineLevel="0" collapsed="false">
      <c r="A4" s="13" t="s">
        <v>186</v>
      </c>
    </row>
    <row r="6" customFormat="false" ht="30" hidden="false" customHeight="true" outlineLevel="0" collapsed="false">
      <c r="A6" s="14" t="s">
        <v>34</v>
      </c>
      <c r="B6" s="14" t="s">
        <v>35</v>
      </c>
      <c r="C6" s="14" t="s">
        <v>36</v>
      </c>
      <c r="D6" s="14" t="s">
        <v>37</v>
      </c>
      <c r="E6" s="14" t="s">
        <v>43</v>
      </c>
    </row>
    <row r="7" customFormat="false" ht="15" hidden="false" customHeight="false" outlineLevel="0" collapsed="false">
      <c r="A7" s="54" t="n">
        <v>46027</v>
      </c>
      <c r="B7" s="55" t="s">
        <v>44</v>
      </c>
      <c r="C7" s="55" t="s">
        <v>45</v>
      </c>
      <c r="D7" s="56" t="n">
        <v>500000</v>
      </c>
      <c r="E7" s="55" t="s">
        <v>46</v>
      </c>
    </row>
    <row r="8" customFormat="false" ht="15" hidden="false" customHeight="false" outlineLevel="0" collapsed="false">
      <c r="A8" s="54" t="n">
        <v>46034</v>
      </c>
      <c r="B8" s="55" t="s">
        <v>47</v>
      </c>
      <c r="C8" s="55" t="s">
        <v>45</v>
      </c>
      <c r="D8" s="56" t="n">
        <v>300000</v>
      </c>
      <c r="E8" s="55" t="s">
        <v>46</v>
      </c>
    </row>
    <row r="9" customFormat="false" ht="15" hidden="false" customHeight="false" outlineLevel="0" collapsed="false">
      <c r="A9" s="54" t="n">
        <v>46056</v>
      </c>
      <c r="B9" s="55" t="s">
        <v>44</v>
      </c>
      <c r="C9" s="55" t="s">
        <v>48</v>
      </c>
      <c r="D9" s="56" t="n">
        <v>100000</v>
      </c>
      <c r="E9" s="55" t="s">
        <v>49</v>
      </c>
    </row>
    <row r="10" customFormat="false" ht="15" hidden="false" customHeight="false" outlineLevel="0" collapsed="false">
      <c r="A10" s="54" t="n">
        <v>46071</v>
      </c>
      <c r="B10" s="55" t="s">
        <v>50</v>
      </c>
      <c r="C10" s="55" t="s">
        <v>45</v>
      </c>
      <c r="D10" s="56" t="n">
        <v>200000</v>
      </c>
      <c r="E10" s="55" t="s">
        <v>51</v>
      </c>
    </row>
    <row r="11" customFormat="false" ht="15" hidden="false" customHeight="false" outlineLevel="0" collapsed="false">
      <c r="A11" s="54" t="n">
        <v>46088</v>
      </c>
      <c r="B11" s="55" t="s">
        <v>47</v>
      </c>
      <c r="C11" s="55" t="s">
        <v>48</v>
      </c>
      <c r="D11" s="56" t="n">
        <v>50000</v>
      </c>
      <c r="E11" s="55" t="s">
        <v>49</v>
      </c>
    </row>
    <row r="12" customFormat="false" ht="15" hidden="false" customHeight="false" outlineLevel="0" collapsed="false">
      <c r="A12" s="54" t="n">
        <v>46102</v>
      </c>
      <c r="B12" s="55" t="s">
        <v>44</v>
      </c>
      <c r="C12" s="55" t="s">
        <v>45</v>
      </c>
      <c r="D12" s="56" t="n">
        <v>150000</v>
      </c>
      <c r="E12" s="55" t="s">
        <v>51</v>
      </c>
    </row>
    <row r="20" customFormat="false" ht="19.5" hidden="false" customHeight="true" outlineLevel="0" collapsed="false">
      <c r="A20" s="24" t="s">
        <v>187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</sheetData>
  <sheetProtection sheet="true" password="cc3d" objects="true" scenarios="true" deleteColumns="false" deleteRows="false"/>
  <mergeCells count="2">
    <mergeCell ref="A1:AD1"/>
    <mergeCell ref="A20:AN20"/>
  </mergeCells>
  <conditionalFormatting sqref="D7:D20">
    <cfRule type="cellIs" priority="2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189</v>
      </c>
    </row>
    <row r="4" customFormat="false" ht="30" hidden="false" customHeight="true" outlineLevel="0" collapsed="false">
      <c r="A4" s="14" t="s">
        <v>34</v>
      </c>
      <c r="B4" s="14" t="s">
        <v>190</v>
      </c>
      <c r="C4" s="14" t="s">
        <v>191</v>
      </c>
      <c r="D4" s="14" t="s">
        <v>192</v>
      </c>
      <c r="E4" s="14" t="s">
        <v>193</v>
      </c>
    </row>
    <row r="5" customFormat="false" ht="15" hidden="false" customHeight="false" outlineLevel="0" collapsed="false">
      <c r="A5" s="55" t="s">
        <v>194</v>
      </c>
      <c r="B5" s="55" t="s">
        <v>195</v>
      </c>
      <c r="C5" s="55" t="s">
        <v>196</v>
      </c>
      <c r="D5" s="55" t="s">
        <v>197</v>
      </c>
      <c r="E5" s="55" t="s">
        <v>198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200</v>
      </c>
    </row>
    <row r="4" customFormat="false" ht="55.2" hidden="false" customHeight="false" outlineLevel="0" collapsed="false">
      <c r="A4" s="13" t="s">
        <v>201</v>
      </c>
    </row>
    <row r="6" customFormat="false" ht="15" hidden="false" customHeight="false" outlineLevel="0" collapsed="false">
      <c r="A6" s="49" t="s">
        <v>202</v>
      </c>
      <c r="C6" s="49" t="s">
        <v>36</v>
      </c>
    </row>
    <row r="7" customFormat="false" ht="15" hidden="false" customHeight="false" outlineLevel="0" collapsed="false">
      <c r="A7" s="57" t="s">
        <v>44</v>
      </c>
      <c r="C7" s="57" t="s">
        <v>45</v>
      </c>
    </row>
    <row r="8" customFormat="false" ht="15" hidden="false" customHeight="false" outlineLevel="0" collapsed="false">
      <c r="A8" s="57" t="s">
        <v>47</v>
      </c>
      <c r="C8" s="57" t="s">
        <v>48</v>
      </c>
    </row>
    <row r="9" customFormat="false" ht="15" hidden="false" customHeight="false" outlineLevel="0" collapsed="false">
      <c r="A9" s="57" t="s">
        <v>50</v>
      </c>
    </row>
    <row r="10" customFormat="false" ht="15" hidden="false" customHeight="false" outlineLevel="0" collapsed="false">
      <c r="A10" s="57" t="s">
        <v>203</v>
      </c>
    </row>
    <row r="11" customFormat="false" ht="15" hidden="false" customHeight="false" outlineLevel="0" collapsed="false">
      <c r="A11" s="57" t="s">
        <v>204</v>
      </c>
    </row>
    <row r="12" customFormat="false" ht="15" hidden="false" customHeight="false" outlineLevel="0" collapsed="false">
      <c r="A12" s="57" t="s">
        <v>205</v>
      </c>
    </row>
    <row r="13" customFormat="false" ht="15" hidden="false" customHeight="false" outlineLevel="0" collapsed="false">
      <c r="A13" s="57" t="s">
        <v>206</v>
      </c>
    </row>
    <row r="14" customFormat="false" ht="15" hidden="false" customHeight="false" outlineLevel="0" collapsed="false">
      <c r="A14" s="57" t="s">
        <v>207</v>
      </c>
    </row>
    <row r="15" customFormat="false" ht="15" hidden="false" customHeight="false" outlineLevel="0" collapsed="false">
      <c r="A15" s="57" t="s">
        <v>208</v>
      </c>
    </row>
    <row r="16" customFormat="false" ht="15" hidden="false" customHeight="false" outlineLevel="0" collapsed="false">
      <c r="A16" s="57" t="s">
        <v>209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211</v>
      </c>
    </row>
    <row r="4" customFormat="false" ht="55.2" hidden="false" customHeight="false" outlineLevel="0" collapsed="false">
      <c r="A4" s="13" t="s">
        <v>212</v>
      </c>
    </row>
    <row r="6" customFormat="false" ht="30" hidden="false" customHeight="true" outlineLevel="0" collapsed="false">
      <c r="A6" s="14" t="s">
        <v>213</v>
      </c>
      <c r="B6" s="14" t="s">
        <v>214</v>
      </c>
      <c r="C6" s="14" t="s">
        <v>215</v>
      </c>
      <c r="D6" s="14" t="s">
        <v>216</v>
      </c>
      <c r="E6" s="14" t="s">
        <v>217</v>
      </c>
      <c r="F6" s="14" t="s">
        <v>218</v>
      </c>
      <c r="G6" s="14" t="s">
        <v>219</v>
      </c>
      <c r="H6" s="14" t="s">
        <v>220</v>
      </c>
      <c r="I6" s="14" t="s">
        <v>221</v>
      </c>
    </row>
    <row r="7" customFormat="false" ht="25.5" hidden="false" customHeight="true" outlineLevel="0" collapsed="false">
      <c r="A7" s="58" t="s">
        <v>222</v>
      </c>
      <c r="B7" s="59" t="s">
        <v>223</v>
      </c>
      <c r="C7" s="60" t="s">
        <v>224</v>
      </c>
      <c r="D7" s="61"/>
      <c r="E7" s="61"/>
      <c r="F7" s="12" t="s">
        <v>225</v>
      </c>
      <c r="G7" s="60" t="s">
        <v>226</v>
      </c>
      <c r="H7" s="62" t="n">
        <v>46023</v>
      </c>
      <c r="I7" s="62" t="n">
        <v>46244</v>
      </c>
    </row>
    <row r="8" customFormat="false" ht="25.5" hidden="false" customHeight="true" outlineLevel="0" collapsed="false">
      <c r="A8" s="58" t="s">
        <v>227</v>
      </c>
      <c r="B8" s="63" t="n">
        <v>46242</v>
      </c>
      <c r="C8" s="60" t="s">
        <v>34</v>
      </c>
      <c r="D8" s="61"/>
      <c r="E8" s="61"/>
      <c r="F8" s="12" t="s">
        <v>228</v>
      </c>
      <c r="G8" s="60" t="s">
        <v>226</v>
      </c>
      <c r="H8" s="62" t="n">
        <v>46023</v>
      </c>
      <c r="I8" s="62" t="n">
        <v>46244</v>
      </c>
    </row>
    <row r="9" customFormat="false" ht="25.5" hidden="false" customHeight="true" outlineLevel="0" collapsed="false">
      <c r="A9" s="58" t="s">
        <v>229</v>
      </c>
      <c r="B9" s="59" t="s">
        <v>230</v>
      </c>
      <c r="C9" s="60" t="s">
        <v>224</v>
      </c>
      <c r="D9" s="61"/>
      <c r="E9" s="61"/>
      <c r="F9" s="12" t="s">
        <v>231</v>
      </c>
      <c r="G9" s="60" t="s">
        <v>226</v>
      </c>
      <c r="H9" s="62" t="n">
        <v>46023</v>
      </c>
      <c r="I9" s="62" t="n">
        <v>46244</v>
      </c>
    </row>
    <row r="10" customFormat="false" ht="25.5" hidden="false" customHeight="true" outlineLevel="0" collapsed="false">
      <c r="A10" s="58" t="s">
        <v>232</v>
      </c>
      <c r="B10" s="59" t="s">
        <v>195</v>
      </c>
      <c r="C10" s="60" t="s">
        <v>224</v>
      </c>
      <c r="D10" s="61"/>
      <c r="E10" s="61"/>
      <c r="F10" s="12" t="s">
        <v>233</v>
      </c>
      <c r="G10" s="60" t="s">
        <v>226</v>
      </c>
      <c r="H10" s="62" t="n">
        <v>46023</v>
      </c>
      <c r="I10" s="62" t="n">
        <v>46244</v>
      </c>
    </row>
    <row r="11" customFormat="false" ht="25.5" hidden="false" customHeight="true" outlineLevel="0" collapsed="false">
      <c r="A11" s="58" t="s">
        <v>234</v>
      </c>
      <c r="B11" s="64" t="n">
        <v>0.19</v>
      </c>
      <c r="C11" s="60" t="s">
        <v>235</v>
      </c>
      <c r="D11" s="61" t="n">
        <v>0</v>
      </c>
      <c r="E11" s="61" t="n">
        <v>1</v>
      </c>
      <c r="F11" s="12" t="s">
        <v>236</v>
      </c>
      <c r="G11" s="60" t="s">
        <v>237</v>
      </c>
      <c r="H11" s="62" t="n">
        <v>46023</v>
      </c>
      <c r="I11" s="62" t="n">
        <v>46244</v>
      </c>
    </row>
    <row r="12" customFormat="false" ht="25.5" hidden="false" customHeight="true" outlineLevel="0" collapsed="false">
      <c r="A12" s="58" t="s">
        <v>238</v>
      </c>
      <c r="B12" s="65" t="n">
        <v>36500</v>
      </c>
      <c r="C12" s="60" t="s">
        <v>239</v>
      </c>
      <c r="D12" s="61" t="n">
        <v>1</v>
      </c>
      <c r="E12" s="61" t="n">
        <v>36500</v>
      </c>
      <c r="F12" s="12" t="s">
        <v>240</v>
      </c>
      <c r="G12" s="60" t="s">
        <v>237</v>
      </c>
      <c r="H12" s="62" t="n">
        <v>46023</v>
      </c>
      <c r="I12" s="62" t="n">
        <v>46244</v>
      </c>
    </row>
    <row r="13" customFormat="false" ht="25.5" hidden="false" customHeight="true" outlineLevel="0" collapsed="false">
      <c r="A13" s="58" t="s">
        <v>241</v>
      </c>
      <c r="B13" s="66" t="n">
        <v>250000</v>
      </c>
      <c r="C13" s="60" t="s">
        <v>242</v>
      </c>
      <c r="D13" s="61" t="n">
        <v>0</v>
      </c>
      <c r="E13" s="61" t="n">
        <v>10000000000</v>
      </c>
      <c r="F13" s="12" t="s">
        <v>243</v>
      </c>
      <c r="G13" s="60" t="s">
        <v>237</v>
      </c>
      <c r="H13" s="62" t="n">
        <v>46023</v>
      </c>
      <c r="I13" s="62" t="n">
        <v>46244</v>
      </c>
    </row>
    <row r="14" customFormat="false" ht="25.5" hidden="false" customHeight="true" outlineLevel="0" collapsed="false">
      <c r="A14" s="58" t="s">
        <v>244</v>
      </c>
      <c r="B14" s="66" t="n">
        <v>10000000</v>
      </c>
      <c r="C14" s="60" t="s">
        <v>242</v>
      </c>
      <c r="D14" s="61" t="n">
        <v>0</v>
      </c>
      <c r="E14" s="61" t="n">
        <v>100000000000</v>
      </c>
      <c r="F14" s="12" t="s">
        <v>245</v>
      </c>
      <c r="G14" s="60" t="s">
        <v>237</v>
      </c>
      <c r="H14" s="62" t="n">
        <v>46023</v>
      </c>
      <c r="I14" s="62" t="n">
        <v>46244</v>
      </c>
    </row>
    <row r="15" customFormat="false" ht="25.5" hidden="false" customHeight="true" outlineLevel="0" collapsed="false">
      <c r="A15" s="58" t="s">
        <v>246</v>
      </c>
      <c r="B15" s="64" t="n">
        <v>0.3</v>
      </c>
      <c r="C15" s="60" t="s">
        <v>235</v>
      </c>
      <c r="D15" s="61" t="n">
        <v>0</v>
      </c>
      <c r="E15" s="61" t="n">
        <v>1</v>
      </c>
      <c r="F15" s="12" t="s">
        <v>247</v>
      </c>
      <c r="G15" s="60" t="s">
        <v>237</v>
      </c>
      <c r="H15" s="62" t="n">
        <v>46023</v>
      </c>
      <c r="I15" s="62" t="n">
        <v>46244</v>
      </c>
    </row>
    <row r="16" customFormat="false" ht="25.5" hidden="false" customHeight="true" outlineLevel="0" collapsed="false">
      <c r="A16" s="58" t="s">
        <v>248</v>
      </c>
      <c r="B16" s="64" t="n">
        <v>1.1</v>
      </c>
      <c r="C16" s="60" t="s">
        <v>235</v>
      </c>
      <c r="D16" s="61" t="n">
        <v>0.5</v>
      </c>
      <c r="E16" s="61" t="n">
        <v>2</v>
      </c>
      <c r="F16" s="12" t="s">
        <v>249</v>
      </c>
      <c r="G16" s="60" t="s">
        <v>237</v>
      </c>
      <c r="H16" s="62" t="n">
        <v>46023</v>
      </c>
      <c r="I16" s="62" t="n">
        <v>46244</v>
      </c>
    </row>
    <row r="17" customFormat="false" ht="25.5" hidden="false" customHeight="true" outlineLevel="0" collapsed="false">
      <c r="A17" s="58" t="s">
        <v>250</v>
      </c>
      <c r="B17" s="64" t="n">
        <v>1</v>
      </c>
      <c r="C17" s="60" t="s">
        <v>235</v>
      </c>
      <c r="D17" s="61" t="n">
        <v>0.5</v>
      </c>
      <c r="E17" s="61" t="n">
        <v>2</v>
      </c>
      <c r="F17" s="12" t="s">
        <v>251</v>
      </c>
      <c r="G17" s="60" t="s">
        <v>237</v>
      </c>
      <c r="H17" s="62" t="n">
        <v>46023</v>
      </c>
      <c r="I17" s="62" t="n">
        <v>46244</v>
      </c>
    </row>
    <row r="18" customFormat="false" ht="25.5" hidden="false" customHeight="true" outlineLevel="0" collapsed="false">
      <c r="A18" s="58" t="s">
        <v>252</v>
      </c>
      <c r="B18" s="64" t="n">
        <v>0.9</v>
      </c>
      <c r="C18" s="60" t="s">
        <v>235</v>
      </c>
      <c r="D18" s="61" t="n">
        <v>0.5</v>
      </c>
      <c r="E18" s="61" t="n">
        <v>2</v>
      </c>
      <c r="F18" s="12" t="s">
        <v>253</v>
      </c>
      <c r="G18" s="60" t="s">
        <v>237</v>
      </c>
      <c r="H18" s="62" t="n">
        <v>46023</v>
      </c>
      <c r="I18" s="62" t="n">
        <v>46244</v>
      </c>
    </row>
    <row r="19" customFormat="false" ht="25.5" hidden="false" customHeight="true" outlineLevel="0" collapsed="false">
      <c r="A19" s="58" t="s">
        <v>254</v>
      </c>
      <c r="B19" s="64" t="n">
        <v>0.01</v>
      </c>
      <c r="C19" s="60" t="s">
        <v>235</v>
      </c>
      <c r="D19" s="61" t="n">
        <v>0</v>
      </c>
      <c r="E19" s="61" t="n">
        <v>0.2</v>
      </c>
      <c r="F19" s="12" t="s">
        <v>255</v>
      </c>
      <c r="G19" s="60" t="s">
        <v>237</v>
      </c>
      <c r="H19" s="62" t="n">
        <v>46023</v>
      </c>
      <c r="I19" s="62" t="n">
        <v>46244</v>
      </c>
    </row>
    <row r="20" customFormat="false" ht="25.5" hidden="false" customHeight="true" outlineLevel="0" collapsed="false">
      <c r="A20" s="58" t="s">
        <v>256</v>
      </c>
      <c r="B20" s="64" t="n">
        <v>0.01</v>
      </c>
      <c r="C20" s="60" t="s">
        <v>235</v>
      </c>
      <c r="D20" s="61" t="n">
        <v>0</v>
      </c>
      <c r="E20" s="61" t="n">
        <v>0.2</v>
      </c>
      <c r="F20" s="12" t="s">
        <v>257</v>
      </c>
      <c r="G20" s="60" t="s">
        <v>237</v>
      </c>
      <c r="H20" s="62" t="n">
        <v>46023</v>
      </c>
      <c r="I20" s="62" t="n">
        <v>46244</v>
      </c>
    </row>
    <row r="21" customFormat="false" ht="25.5" hidden="false" customHeight="true" outlineLevel="0" collapsed="false">
      <c r="A21" s="58" t="s">
        <v>258</v>
      </c>
      <c r="B21" s="64" t="n">
        <v>1.645</v>
      </c>
      <c r="C21" s="60" t="s">
        <v>235</v>
      </c>
      <c r="D21" s="61" t="n">
        <v>0</v>
      </c>
      <c r="E21" s="61" t="n">
        <v>3</v>
      </c>
      <c r="F21" s="12" t="s">
        <v>259</v>
      </c>
      <c r="G21" s="60" t="s">
        <v>237</v>
      </c>
      <c r="H21" s="62" t="n">
        <v>46023</v>
      </c>
      <c r="I21" s="62" t="n">
        <v>46244</v>
      </c>
    </row>
    <row r="22" customFormat="false" ht="25.5" hidden="false" customHeight="true" outlineLevel="0" collapsed="false">
      <c r="A22" s="58" t="s">
        <v>260</v>
      </c>
      <c r="B22" s="65" t="n">
        <v>90</v>
      </c>
      <c r="C22" s="60" t="s">
        <v>261</v>
      </c>
      <c r="D22" s="61" t="n">
        <v>0</v>
      </c>
      <c r="E22" s="61" t="n">
        <v>100</v>
      </c>
      <c r="F22" s="12" t="s">
        <v>262</v>
      </c>
      <c r="G22" s="60" t="s">
        <v>237</v>
      </c>
      <c r="H22" s="62" t="n">
        <v>46023</v>
      </c>
      <c r="I22" s="62" t="n">
        <v>46244</v>
      </c>
    </row>
    <row r="23" customFormat="false" ht="25.5" hidden="false" customHeight="true" outlineLevel="0" collapsed="false">
      <c r="A23" s="58" t="s">
        <v>263</v>
      </c>
      <c r="B23" s="65" t="n">
        <v>70</v>
      </c>
      <c r="C23" s="60" t="s">
        <v>261</v>
      </c>
      <c r="D23" s="61" t="n">
        <v>0</v>
      </c>
      <c r="E23" s="61" t="n">
        <v>100</v>
      </c>
      <c r="F23" s="12" t="s">
        <v>264</v>
      </c>
      <c r="G23" s="60" t="s">
        <v>237</v>
      </c>
      <c r="H23" s="62" t="n">
        <v>46023</v>
      </c>
      <c r="I23" s="62" t="n">
        <v>46244</v>
      </c>
    </row>
    <row r="24" customFormat="false" ht="25.5" hidden="false" customHeight="true" outlineLevel="0" collapsed="false">
      <c r="A24" s="58" t="s">
        <v>265</v>
      </c>
      <c r="B24" s="67" t="s">
        <v>266</v>
      </c>
      <c r="C24" s="60" t="s">
        <v>224</v>
      </c>
      <c r="D24" s="61"/>
      <c r="E24" s="61"/>
      <c r="F24" s="12" t="s">
        <v>267</v>
      </c>
      <c r="G24" s="60" t="s">
        <v>237</v>
      </c>
      <c r="H24" s="62" t="n">
        <v>46023</v>
      </c>
      <c r="I24" s="62" t="n">
        <v>46244</v>
      </c>
    </row>
    <row r="25" customFormat="false" ht="25.5" hidden="false" customHeight="true" outlineLevel="0" collapsed="false">
      <c r="A25" s="58" t="s">
        <v>268</v>
      </c>
      <c r="B25" s="67" t="s">
        <v>269</v>
      </c>
      <c r="C25" s="60" t="s">
        <v>224</v>
      </c>
      <c r="D25" s="61"/>
      <c r="E25" s="61"/>
      <c r="F25" s="12" t="s">
        <v>270</v>
      </c>
      <c r="G25" s="60" t="s">
        <v>237</v>
      </c>
      <c r="H25" s="62" t="n">
        <v>46023</v>
      </c>
      <c r="I25" s="62" t="n">
        <v>46244</v>
      </c>
    </row>
    <row r="26" customFormat="false" ht="25.5" hidden="false" customHeight="true" outlineLevel="0" collapsed="false">
      <c r="A26" s="58" t="s">
        <v>271</v>
      </c>
      <c r="B26" s="67" t="s">
        <v>272</v>
      </c>
      <c r="C26" s="60" t="s">
        <v>224</v>
      </c>
      <c r="D26" s="61"/>
      <c r="E26" s="61"/>
      <c r="F26" s="12" t="s">
        <v>273</v>
      </c>
      <c r="G26" s="60" t="s">
        <v>237</v>
      </c>
      <c r="H26" s="62" t="n">
        <v>46023</v>
      </c>
      <c r="I26" s="62" t="n">
        <v>46244</v>
      </c>
    </row>
    <row r="27" customFormat="false" ht="25.5" hidden="false" customHeight="true" outlineLevel="0" collapsed="false">
      <c r="A27" s="58" t="s">
        <v>274</v>
      </c>
      <c r="B27" s="64" t="n">
        <v>0.9</v>
      </c>
      <c r="C27" s="60" t="s">
        <v>235</v>
      </c>
      <c r="D27" s="61" t="n">
        <v>0.5</v>
      </c>
      <c r="E27" s="61" t="n">
        <v>1</v>
      </c>
      <c r="F27" s="12" t="s">
        <v>275</v>
      </c>
      <c r="G27" s="60" t="s">
        <v>237</v>
      </c>
      <c r="H27" s="62" t="n">
        <v>46023</v>
      </c>
      <c r="I27" s="62" t="n">
        <v>46244</v>
      </c>
    </row>
    <row r="28" customFormat="false" ht="25.5" hidden="false" customHeight="true" outlineLevel="0" collapsed="false">
      <c r="A28" s="68" t="s">
        <v>276</v>
      </c>
      <c r="B28" s="69" t="n">
        <v>1</v>
      </c>
      <c r="C28" s="60" t="s">
        <v>277</v>
      </c>
      <c r="F28" s="12" t="s">
        <v>278</v>
      </c>
      <c r="G28" s="60" t="s">
        <v>226</v>
      </c>
      <c r="H28" s="62" t="n">
        <v>46023</v>
      </c>
      <c r="I28" s="62" t="n">
        <v>46244</v>
      </c>
    </row>
    <row r="29" customFormat="false" ht="25.5" hidden="false" customHeight="true" outlineLevel="0" collapsed="false">
      <c r="A29" s="68" t="s">
        <v>279</v>
      </c>
      <c r="B29" s="69" t="n">
        <v>2</v>
      </c>
      <c r="C29" s="60" t="s">
        <v>277</v>
      </c>
      <c r="F29" s="12" t="s">
        <v>280</v>
      </c>
      <c r="G29" s="60" t="s">
        <v>226</v>
      </c>
      <c r="H29" s="62" t="n">
        <v>46023</v>
      </c>
      <c r="I29" s="62" t="n">
        <v>46244</v>
      </c>
    </row>
    <row r="30" customFormat="false" ht="25.5" hidden="false" customHeight="true" outlineLevel="0" collapsed="false">
      <c r="A30" s="68" t="s">
        <v>281</v>
      </c>
      <c r="B30" s="69" t="n">
        <v>3</v>
      </c>
      <c r="C30" s="60" t="s">
        <v>277</v>
      </c>
      <c r="F30" s="12" t="s">
        <v>282</v>
      </c>
      <c r="G30" s="60" t="s">
        <v>226</v>
      </c>
      <c r="H30" s="62" t="n">
        <v>46023</v>
      </c>
      <c r="I30" s="62" t="n">
        <v>46244</v>
      </c>
    </row>
    <row r="31" customFormat="false" ht="25.5" hidden="false" customHeight="true" outlineLevel="0" collapsed="false">
      <c r="A31" s="68" t="s">
        <v>283</v>
      </c>
      <c r="B31" s="69" t="n">
        <v>4</v>
      </c>
      <c r="C31" s="60" t="s">
        <v>277</v>
      </c>
      <c r="F31" s="12" t="s">
        <v>284</v>
      </c>
      <c r="G31" s="60" t="s">
        <v>226</v>
      </c>
      <c r="H31" s="62" t="n">
        <v>46023</v>
      </c>
      <c r="I31" s="62" t="n">
        <v>46244</v>
      </c>
    </row>
    <row r="32" customFormat="false" ht="25.5" hidden="false" customHeight="true" outlineLevel="0" collapsed="false">
      <c r="A32" s="68" t="s">
        <v>285</v>
      </c>
      <c r="B32" s="69" t="n">
        <v>5</v>
      </c>
      <c r="C32" s="60" t="s">
        <v>277</v>
      </c>
      <c r="F32" s="12" t="s">
        <v>286</v>
      </c>
      <c r="G32" s="60" t="s">
        <v>226</v>
      </c>
      <c r="H32" s="62" t="n">
        <v>46023</v>
      </c>
      <c r="I32" s="62" t="n">
        <v>46244</v>
      </c>
    </row>
    <row r="33" customFormat="false" ht="25.5" hidden="false" customHeight="true" outlineLevel="0" collapsed="false">
      <c r="A33" s="68" t="s">
        <v>287</v>
      </c>
      <c r="B33" s="69" t="n">
        <v>6</v>
      </c>
      <c r="C33" s="60" t="s">
        <v>277</v>
      </c>
      <c r="F33" s="12" t="s">
        <v>288</v>
      </c>
      <c r="G33" s="60" t="s">
        <v>226</v>
      </c>
      <c r="H33" s="62" t="n">
        <v>46023</v>
      </c>
      <c r="I33" s="62" t="n">
        <v>46244</v>
      </c>
    </row>
    <row r="34" customFormat="false" ht="25.5" hidden="false" customHeight="true" outlineLevel="0" collapsed="false">
      <c r="A34" s="68" t="s">
        <v>289</v>
      </c>
      <c r="B34" s="69" t="n">
        <v>7</v>
      </c>
      <c r="C34" s="60" t="s">
        <v>277</v>
      </c>
      <c r="F34" s="12" t="s">
        <v>290</v>
      </c>
      <c r="G34" s="60" t="s">
        <v>226</v>
      </c>
      <c r="H34" s="62" t="n">
        <v>46023</v>
      </c>
      <c r="I34" s="62" t="n">
        <v>46244</v>
      </c>
    </row>
    <row r="35" customFormat="false" ht="25.5" hidden="false" customHeight="true" outlineLevel="0" collapsed="false">
      <c r="A35" s="68" t="s">
        <v>291</v>
      </c>
      <c r="B35" s="69" t="n">
        <v>8</v>
      </c>
      <c r="C35" s="60" t="s">
        <v>277</v>
      </c>
      <c r="F35" s="12" t="s">
        <v>292</v>
      </c>
      <c r="G35" s="60" t="s">
        <v>226</v>
      </c>
      <c r="H35" s="62" t="n">
        <v>46023</v>
      </c>
      <c r="I35" s="62" t="n">
        <v>46244</v>
      </c>
    </row>
    <row r="36" customFormat="false" ht="25.5" hidden="false" customHeight="true" outlineLevel="0" collapsed="false">
      <c r="A36" s="68" t="s">
        <v>293</v>
      </c>
      <c r="B36" s="69" t="n">
        <v>9</v>
      </c>
      <c r="C36" s="60" t="s">
        <v>277</v>
      </c>
      <c r="F36" s="12" t="s">
        <v>294</v>
      </c>
      <c r="G36" s="60" t="s">
        <v>226</v>
      </c>
      <c r="H36" s="62" t="n">
        <v>46023</v>
      </c>
      <c r="I36" s="62" t="n">
        <v>46244</v>
      </c>
    </row>
    <row r="37" customFormat="false" ht="25.5" hidden="false" customHeight="true" outlineLevel="0" collapsed="false">
      <c r="A37" s="68" t="s">
        <v>295</v>
      </c>
      <c r="B37" s="69" t="n">
        <v>10</v>
      </c>
      <c r="C37" s="60" t="s">
        <v>277</v>
      </c>
      <c r="F37" s="12" t="s">
        <v>296</v>
      </c>
      <c r="G37" s="60" t="s">
        <v>226</v>
      </c>
      <c r="H37" s="62" t="n">
        <v>46023</v>
      </c>
      <c r="I37" s="62" t="n">
        <v>46244</v>
      </c>
    </row>
    <row r="38" customFormat="false" ht="25.5" hidden="false" customHeight="true" outlineLevel="0" collapsed="false">
      <c r="A38" s="68" t="s">
        <v>297</v>
      </c>
      <c r="B38" s="69" t="n">
        <v>11</v>
      </c>
      <c r="C38" s="60" t="s">
        <v>277</v>
      </c>
      <c r="F38" s="12" t="s">
        <v>298</v>
      </c>
      <c r="G38" s="60" t="s">
        <v>226</v>
      </c>
      <c r="H38" s="62" t="n">
        <v>46023</v>
      </c>
      <c r="I38" s="62" t="n">
        <v>46244</v>
      </c>
    </row>
    <row r="39" customFormat="false" ht="25.5" hidden="false" customHeight="true" outlineLevel="0" collapsed="false">
      <c r="A39" s="68" t="s">
        <v>299</v>
      </c>
      <c r="B39" s="69" t="n">
        <v>12</v>
      </c>
      <c r="C39" s="60" t="s">
        <v>277</v>
      </c>
      <c r="F39" s="12" t="s">
        <v>300</v>
      </c>
      <c r="G39" s="60" t="s">
        <v>226</v>
      </c>
      <c r="H39" s="62" t="n">
        <v>46023</v>
      </c>
      <c r="I39" s="62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4">
    <dataValidation allowBlank="false" error="Yıllık adat faiz oranı; dönemin emsal mevduat oranına göre güncellenir." errorStyle="stop" errorTitle="Değer aralık dışı" operator="between" prompt="Yıllık adat faiz oranı; dönemin emsal mevduat oranına göre güncellenir." promptTitle="AdatFaizOran" showDropDown="false" showErrorMessage="true" showInputMessage="false" sqref="B11" type="decimal">
      <formula1>0</formula1>
      <formula2>1</formula2>
    </dataValidation>
    <dataValidation allowBlank="false" error="Adat faizinde yılın gün bazı (faiz = adat × oran / bu değer)." errorStyle="stop" errorTitle="Değer aralık dışı" operator="between" prompt="Adat faizinde yılın gün bazı (faiz = adat × oran / bu değer)." promptTitle="AdatYilGunSayisi" showDropDown="false" showErrorMessage="true" showInputMessage="false" sqref="B12" type="decimal">
      <formula1>1</formula1>
      <formula2>36500</formula2>
    </dataValidation>
    <dataValidation allowBlank="false" error="Brüt faiz tutarı eşiği; üzerinde karar İNCELE olur." errorStyle="stop" errorTitle="Değer aralık dışı" operator="between" prompt="Brüt faiz tutarı eşiği; üzerinde karar İNCELE olur." promptTitle="AdatFaizEsik" showDropDown="false" showErrorMessage="true" showInputMessage="false" sqref="B13" type="decimal">
      <formula1>0</formula1>
      <formula2>10000000000</formula2>
    </dataValidation>
    <dataValidation allowBlank="false" error="Şirket öz kaynağı; örtülü sermaye oranı hesabında payda." errorStyle="stop" errorTitle="Değer aralık dışı" operator="between" prompt="Şirket öz kaynağı; örtülü sermaye oranı hesabında payda." promptTitle="AdatOzKaynak" showDropDown="false" showErrorMessage="true" showInputMessage="false" sqref="B14" type="decimal">
      <formula1>0</formula1>
      <formula2>100000000000</formula2>
    </dataValidation>
    <dataValidation allowBlank="false" error="Ortak cari bakiyesinin öz kaynağa oranı eşiği; üzerinde KKEG riski." errorStyle="stop" errorTitle="Değer aralık dışı" operator="between" prompt="Ortak cari bakiyesinin öz kaynağa oranı eşiği; üzerinde KKEG riski." promptTitle="AdatOzKaynakEsik" showDropDown="false" showErrorMessage="true" showInputMessage="false" sqref="B15" type="decimal">
      <formula1>0</formula1>
      <formula2>1</formula2>
    </dataValidation>
    <dataValidation allowBlank="false" error="İyimser senaryoda brüt faiz bu çarpanla hesaplanır." errorStyle="stop" errorTitle="Değer aralık dışı" operator="between" prompt="İyimser senaryoda brüt faiz bu çarpanla hesaplanır." promptTitle="AdatIyiSenaryo" showDropDown="false" showErrorMessage="true" showInputMessage="false" sqref="B16" type="decimal">
      <formula1>0.5</formula1>
      <formula2>2</formula2>
    </dataValidation>
    <dataValidation allowBlank="false" error="Baz senaryoda brüt faiz bu çarpanla hesaplanır." errorStyle="stop" errorTitle="Değer aralık dışı" operator="between" prompt="Baz senaryoda brüt faiz bu çarpanla hesaplanır." promptTitle="AdatBazSenaryo" showDropDown="false" showErrorMessage="true" showInputMessage="false" sqref="B17" type="decimal">
      <formula1>0.5</formula1>
      <formula2>2</formula2>
    </dataValidation>
    <dataValidation allowBlank="false" error="Kötümser senaryoda brüt faiz bu çarpanla hesaplanır." errorStyle="stop" errorTitle="Değer aralık dışı" operator="between" prompt="Kötümser senaryoda brüt faiz bu çarpanla hesaplanır." promptTitle="AdatKotuSenaryo" showDropDown="false" showErrorMessage="true" showInputMessage="false" sqref="B18" type="decimal">
      <formula1>0.5</formula1>
      <formula2>2</formula2>
    </dataValidation>
    <dataValidation allowBlank="false" error="Faiz oranının %1 artışının brüt faize etkisi." errorStyle="stop" errorTitle="Değer aralık dışı" operator="between" prompt="Faiz oranının %1 artışının brüt faize etkisi." promptTitle="AdatTornadoOran" showDropDown="false" showErrorMessage="true" showInputMessage="false" sqref="B19" type="decimal">
      <formula1>0</formula1>
      <formula2>0.2</formula2>
    </dataValidation>
    <dataValidation allowBlank="false" error="Adatın %1 artışının brüt faize etkisi." errorStyle="stop" errorTitle="Değer aralık dışı" operator="between" prompt="Adatın %1 artışının brüt faize etkisi." promptTitle="AdatTornadoAdat" showDropDown="false" showErrorMessage="true" showInputMessage="false" sqref="B20" type="decimal">
      <formula1>0</formula1>
      <formula2>0.2</formula2>
    </dataValidation>
    <dataValidation allowBlank="false" error="Tahmin bandı genişliği (standart sapma katı)." errorStyle="stop" errorTitle="Değer aralık dışı" operator="between" prompt="Tahmin bandı genişliği (standart sapma katı)." promptTitle="AdatTahminCarpan" showDropDown="false" showErrorMessage="true" showInputMessage="false" sqref="B21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AdatKaliteIyi" showDropDown="false" showErrorMessage="true" showInputMessage="false" sqref="B22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AdatKaliteOrta" showDropDown="false" showErrorMessage="true" showInputMessage="false" sqref="B23" type="decimal">
      <formula1>0</formula1>
      <formula2>100</formula2>
    </dataValidation>
    <dataValidation allowBlank="false" error="Adat dağılımında üst yüzdelik dilimin oranı." errorStyle="stop" errorTitle="Değer aralık dışı" operator="between" prompt="Adat dağılımında üst yüzdelik dilimin oranı." promptTitle="AdatP90Oran" showDropDown="false" showErrorMessage="true" showInputMessage="false" sqref="B27" type="decimal">
      <formula1>0.5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302</v>
      </c>
    </row>
    <row r="5" customFormat="false" ht="15" hidden="false" customHeight="true" outlineLevel="0" collapsed="false">
      <c r="A5" s="9" t="s">
        <v>303</v>
      </c>
      <c r="B5" s="5" t="s">
        <v>304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305</v>
      </c>
      <c r="B6" s="5" t="s">
        <v>306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307</v>
      </c>
      <c r="B7" s="5" t="s">
        <v>308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309</v>
      </c>
      <c r="B8" s="5" t="s">
        <v>310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311</v>
      </c>
      <c r="B9" s="5" t="s">
        <v>312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313</v>
      </c>
    </row>
    <row r="13" customFormat="false" ht="15" hidden="false" customHeight="false" outlineLevel="0" collapsed="false">
      <c r="A13" s="4" t="s">
        <v>314</v>
      </c>
    </row>
    <row r="14" customFormat="false" ht="41.75" hidden="false" customHeight="false" outlineLevel="0" collapsed="false">
      <c r="A14" s="70" t="s">
        <v>315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</row>
    <row r="15" customFormat="false" ht="15" hidden="false" customHeight="false" outlineLevel="0" collapsed="false">
      <c r="A15" s="72" t="s">
        <v>316</v>
      </c>
    </row>
    <row r="16" customFormat="false" ht="15" hidden="false" customHeight="false" outlineLevel="0" collapsed="false">
      <c r="A16" s="72" t="s">
        <v>317</v>
      </c>
    </row>
    <row r="17" customFormat="false" ht="15" hidden="false" customHeight="false" outlineLevel="0" collapsed="false">
      <c r="A17" s="72" t="s">
        <v>318</v>
      </c>
    </row>
    <row r="18" customFormat="false" ht="15" hidden="false" customHeight="false" outlineLevel="0" collapsed="false">
      <c r="A18" s="72" t="s">
        <v>319</v>
      </c>
    </row>
    <row r="19" customFormat="false" ht="15" hidden="false" customHeight="false" outlineLevel="0" collapsed="false">
      <c r="A19" s="72" t="s">
        <v>320</v>
      </c>
    </row>
    <row r="20" customFormat="false" ht="15" hidden="false" customHeight="false" outlineLevel="0" collapsed="false">
      <c r="A20" s="72" t="s">
        <v>321</v>
      </c>
    </row>
    <row r="21" customFormat="false" ht="15" hidden="false" customHeight="false" outlineLevel="0" collapsed="false">
      <c r="A21" s="72" t="s">
        <v>322</v>
      </c>
    </row>
    <row r="22" customFormat="false" ht="15" hidden="false" customHeight="false" outlineLevel="0" collapsed="false">
      <c r="A22" s="72" t="s">
        <v>323</v>
      </c>
    </row>
    <row r="23" customFormat="false" ht="15" hidden="false" customHeight="false" outlineLevel="0" collapsed="false">
      <c r="A23" s="72" t="s">
        <v>324</v>
      </c>
    </row>
    <row r="25" customFormat="false" ht="25.35" hidden="false" customHeight="false" outlineLevel="0" collapsed="false">
      <c r="A25" s="12" t="s">
        <v>325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2026-08-10T13:29:44Z</dcterms:created>
  <dc:creator>openpyxl</dc:creator>
  <dc:description/>
  <dc:language>tr-TR</dc:language>
  <cp:lastModifiedBy/>
  <dcterms:modified xsi:type="dcterms:W3CDTF">2026-08-10T13:29:45Z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